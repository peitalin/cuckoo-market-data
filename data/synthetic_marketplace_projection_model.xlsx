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7280"/>
  </bookViews>
  <sheets>
    <sheet name="MarketplaceFees" sheetId="1" state="visible" r:id="rId1"/>
    <sheet name="MAU" sheetId="2" state="visible" r:id="rId2"/>
    <sheet name="Subscriptions" sheetId="3" state="visible" r:id="rId3"/>
    <sheet name="Ads" sheetId="4" state="visible" r:id="rId4"/>
  </sheets>
  <calcPr calcId="181029" calcMode="auto" fullCalcOnLoad="1"/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>
      <c r="A1" t="inlineStr">
        <is>
          <t>[MarketplaceFees Assumptions]</t>
        </is>
      </c>
      <c r="B1" t="inlineStr">
        <is>
          <t/>
        </is>
      </c>
      <c r="C1" t="inlineStr">
        <is>
          <t>Inputs used by the marketplace fee projection below.</t>
        </is>
      </c>
    </row>
    <row r="2">
      <c r="A2" t="inlineStr">
        <is>
          <t>name</t>
        </is>
      </c>
      <c r="B2" t="inlineStr">
        <is>
          <t>value</t>
        </is>
      </c>
      <c r="C2" t="inlineStr">
        <is>
          <t>details</t>
        </is>
      </c>
    </row>
    <row r="3">
      <c r="A3" t="inlineStr">
        <is>
          <t>projection_start_month</t>
        </is>
      </c>
      <c r="B3" t="inlineStr">
        <is>
          <t>2026-03</t>
        </is>
      </c>
      <c r="C3" t="inlineStr">
        <is>
          <t>First month of the synthetic projection in YYYY-MM format.</t>
        </is>
      </c>
    </row>
    <row r="4">
      <c r="A4" t="inlineStr">
        <is>
          <t>seasonality_lookback_years</t>
        </is>
      </c>
      <c r="B4">
        <v>10</v>
      </c>
      <c r="C4" t="inlineStr">
        <is>
          <t>Historical lookback window used to build month-level seasonality factors.</t>
        </is>
      </c>
    </row>
    <row r="5">
      <c r="A5" t="inlineStr">
        <is>
          <t>baseline_month</t>
        </is>
      </c>
      <c r="B5" t="inlineStr">
        <is>
          <t>2026-03-01</t>
        </is>
      </c>
      <c r="C5" t="inlineStr">
        <is>
          <t>Observed marketplace month used to anchor GMV and average selling price.</t>
        </is>
      </c>
    </row>
    <row r="6">
      <c r="A6" t="inlineStr">
        <is>
          <t>baseline_month_gmv_usd</t>
        </is>
      </c>
      <c r="B6">
        <v>2165763</v>
      </c>
      <c r="C6" t="inlineStr">
        <is>
          <t>Observed GMV for the baseline month from raw daily sales data.</t>
        </is>
      </c>
    </row>
    <row r="7">
      <c r="A7" t="inlineStr">
        <is>
          <t>baseline_month_transaction_count</t>
        </is>
      </c>
      <c r="B7">
        <v>514</v>
      </c>
      <c r="C7" t="inlineStr">
        <is>
          <t>Observed transaction count for the baseline month from raw daily sales data.</t>
        </is>
      </c>
    </row>
    <row r="8">
      <c r="A8" t="inlineStr">
        <is>
          <t>baseline_month_avg_sell_price_usd</t>
        </is>
      </c>
      <c r="B8">
        <v>4213.55</v>
      </c>
      <c r="C8" t="inlineStr">
        <is>
          <t>Derived average selling price for the baseline month.</t>
        </is>
      </c>
    </row>
    <row r="9">
      <c r="A9" t="inlineStr">
        <is>
          <t>sales_cagr</t>
        </is>
      </c>
      <c r="B9">
        <v>0.03</v>
      </c>
      <c r="C9" t="inlineStr">
        <is>
          <t>Annual growth rate applied to marketplace sales in Years 2 and 3.</t>
        </is>
      </c>
    </row>
    <row r="10">
      <c r="A10" t="inlineStr">
        <is>
          <t>avg_sell_price_annual_growth</t>
        </is>
      </c>
      <c r="B10">
        <v>0.03</v>
      </c>
      <c r="C10" t="inlineStr">
        <is>
          <t>Annual inflation-style growth rate applied to average selling price.</t>
        </is>
      </c>
    </row>
    <row r="11">
      <c r="A11" t="inlineStr">
        <is>
          <t>take_rate</t>
        </is>
      </c>
      <c r="B11">
        <v>0.02</v>
      </c>
      <c r="C11" t="inlineStr">
        <is>
          <t>Marketplace fee rate applied to projected GMV.</t>
        </is>
      </c>
    </row>
    <row r="12">
      <c r="A12" t="inlineStr">
        <is>
          <t>year2_3_min_txns</t>
        </is>
      </c>
      <c r="B12">
        <v>10</v>
      </c>
      <c r="C12" t="inlineStr">
        <is>
          <t>Lower bound for projected monthly transaction count after Year 1.</t>
        </is>
      </c>
    </row>
    <row r="13">
      <c r="A13" t="inlineStr">
        <is>
          <t>year2_3_max_txns</t>
        </is>
      </c>
      <c r="B13">
        <v>400</v>
      </c>
      <c r="C13" t="inlineStr">
        <is>
          <t>Upper bound for projected monthly transaction count after Year 1.</t>
        </is>
      </c>
    </row>
    <row r="14">
      <c r="A14" t="inlineStr">
        <is>
          <t>jitter_std</t>
        </is>
      </c>
      <c r="B14">
        <v>0.05</v>
      </c>
      <c r="C14" t="inlineStr">
        <is>
          <t>Standard deviation used by the random-driver formulas.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</row>
    <row r="16">
      <c r="A16" t="inlineStr">
        <is>
          <t>month</t>
        </is>
      </c>
      <c r="B16" t="inlineStr">
        <is>
          <t>year_index</t>
        </is>
      </c>
      <c r="C16" t="inlineStr">
        <is>
          <t>phase</t>
        </is>
      </c>
      <c r="D16" t="inlineStr">
        <is>
          <t>seasonality_factor</t>
        </is>
      </c>
      <c r="E16" t="inlineStr">
        <is>
          <t>noise_market_year1_jitter</t>
        </is>
      </c>
      <c r="F16" t="inlineStr">
        <is>
          <t>noise_market_txn</t>
        </is>
      </c>
      <c r="G16" t="inlineStr">
        <is>
          <t>noise_market_avg_sell_price</t>
        </is>
      </c>
      <c r="H16" t="inlineStr">
        <is>
          <t>cagr_multiplier</t>
        </is>
      </c>
      <c r="I16" t="inlineStr">
        <is>
          <t>noise_market_combined</t>
        </is>
      </c>
      <c r="J16" t="inlineStr">
        <is>
          <t>txn_trend_base</t>
        </is>
      </c>
      <c r="K16" t="inlineStr">
        <is>
          <t>txn_seasonality_multiplier</t>
        </is>
      </c>
      <c r="L16" t="inlineStr">
        <is>
          <t>transaction_count</t>
        </is>
      </c>
      <c r="M16" t="inlineStr">
        <is>
          <t>avg_sell_price_growth</t>
        </is>
      </c>
      <c r="N16" t="inlineStr">
        <is>
          <t>avg_sell_price_usd</t>
        </is>
      </c>
      <c r="O16" t="inlineStr">
        <is>
          <t>gross_market_value_usd</t>
        </is>
      </c>
      <c r="P16" t="inlineStr">
        <is>
          <t>take_rate</t>
        </is>
      </c>
      <c r="Q16" t="inlineStr">
        <is>
          <t>transaction_fee_revenue_usd</t>
        </is>
      </c>
    </row>
    <row r="17">
      <c r="A17" t="inlineStr">
        <is>
          <t>2026-03-01</t>
        </is>
      </c>
      <c r="B17">
        <v>1</v>
      </c>
      <c r="C17" t="inlineStr">
        <is>
          <t>phase_1_user_growth</t>
        </is>
      </c>
      <c r="D17">
        <v>1</v>
      </c>
      <c r="E17">
        <f>MAX(0.7,1+_xlfn.NORM.INV(RAND(),0,$B$14*0.5))</f>
        <v>0.996398</v>
      </c>
      <c r="F17">
        <f>MAX(0.85,1+_xlfn.NORM.INV(RAND(),0,$B$14*0.4))</f>
        <v>1</v>
      </c>
      <c r="G17">
        <f>MAX(0.75,1+_xlfn.NORM.INV(RAND(),0,$B$14*0.35))</f>
        <v>1</v>
      </c>
      <c r="H17">
        <f>IF($B17=1,1,POWER(1+$B$9,-12/12))</f>
        <v>1</v>
      </c>
      <c r="I17">
        <f>IF($B17=1,E17,F17*G17)</f>
        <v>0.996398</v>
      </c>
      <c r="J17">
        <f>IF($B17=1,0,$B$12+($B$13-$B$12)*(-12/23))</f>
        <v>0</v>
      </c>
      <c r="K17">
        <f>IF($B17=1,0,0.85+0.15*D17)</f>
        <v>0</v>
      </c>
      <c r="L17">
        <f>IF($B17=1,0,MIN($B$13,MAX($B$12,ROUND(J17*K17*F17,0))))</f>
        <v>0</v>
      </c>
      <c r="M17">
        <f>IF($B17=1,0,1+($B$10*-12/12))</f>
        <v>0</v>
      </c>
      <c r="N17">
        <f>IF($B17=1,0,ROUND($B$8*M17*G17,2))</f>
        <v>0</v>
      </c>
      <c r="O17">
        <f>ROUND(L17*N17,2)</f>
        <v>0</v>
      </c>
      <c r="P17">
        <f>$B$11</f>
        <v>0.02</v>
      </c>
      <c r="Q17">
        <f>ROUND(IF(L17&gt;0,O17*P17,0),2)</f>
        <v>0</v>
      </c>
    </row>
    <row r="18">
      <c r="A18" t="inlineStr">
        <is>
          <t>2026-04-01</t>
        </is>
      </c>
      <c r="B18">
        <v>1</v>
      </c>
      <c r="C18" t="inlineStr">
        <is>
          <t>phase_1_user_growth</t>
        </is>
      </c>
      <c r="D18">
        <v>0.989947230456269</v>
      </c>
      <c r="E18">
        <f>MAX(0.7,1+_xlfn.NORM.INV(RAND(),0,$B$14*0.5))</f>
        <v>0.995677</v>
      </c>
      <c r="F18">
        <f>MAX(0.85,1+_xlfn.NORM.INV(RAND(),0,$B$14*0.4))</f>
        <v>1</v>
      </c>
      <c r="G18">
        <f>MAX(0.75,1+_xlfn.NORM.INV(RAND(),0,$B$14*0.35))</f>
        <v>1</v>
      </c>
      <c r="H18">
        <f>IF($B18=1,1,POWER(1+$B$9,-11/12))</f>
        <v>1</v>
      </c>
      <c r="I18">
        <f>IF($B18=1,E18,F18*G18)</f>
        <v>0.995677</v>
      </c>
      <c r="J18">
        <f>IF($B18=1,0,$B$12+($B$13-$B$12)*(-11/23))</f>
        <v>0</v>
      </c>
      <c r="K18">
        <f>IF($B18=1,0,0.85+0.15*D18)</f>
        <v>0</v>
      </c>
      <c r="L18">
        <f>IF($B18=1,0,MIN($B$13,MAX($B$12,ROUND(J18*K18*F18,0))))</f>
        <v>0</v>
      </c>
      <c r="M18">
        <f>IF($B18=1,0,1+($B$10*-11/12))</f>
        <v>0</v>
      </c>
      <c r="N18">
        <f>IF($B18=1,0,ROUND($B$8*M18*G18,2))</f>
        <v>0</v>
      </c>
      <c r="O18">
        <f>ROUND(L18*N18,2)</f>
        <v>0</v>
      </c>
      <c r="P18">
        <f>$B$11</f>
        <v>0.02</v>
      </c>
      <c r="Q18">
        <f>ROUND(IF(L18&gt;0,O18*P18,0),2)</f>
        <v>0</v>
      </c>
    </row>
    <row r="19">
      <c r="A19" t="inlineStr">
        <is>
          <t>2026-05-01</t>
        </is>
      </c>
      <c r="B19">
        <v>1</v>
      </c>
      <c r="C19" t="inlineStr">
        <is>
          <t>phase_1_user_growth</t>
        </is>
      </c>
      <c r="D19">
        <v>1.18893941969815</v>
      </c>
      <c r="E19">
        <f>MAX(0.7,1+_xlfn.NORM.INV(RAND(),0,$B$14*0.5))</f>
        <v>0.997217</v>
      </c>
      <c r="F19">
        <f>MAX(0.85,1+_xlfn.NORM.INV(RAND(),0,$B$14*0.4))</f>
        <v>1</v>
      </c>
      <c r="G19">
        <f>MAX(0.75,1+_xlfn.NORM.INV(RAND(),0,$B$14*0.35))</f>
        <v>1</v>
      </c>
      <c r="H19">
        <f>IF($B19=1,1,POWER(1+$B$9,-10/12))</f>
        <v>1</v>
      </c>
      <c r="I19">
        <f>IF($B19=1,E19,F19*G19)</f>
        <v>0.997217</v>
      </c>
      <c r="J19">
        <f>IF($B19=1,0,$B$12+($B$13-$B$12)*(-10/23))</f>
        <v>0</v>
      </c>
      <c r="K19">
        <f>IF($B19=1,0,0.85+0.15*D19)</f>
        <v>0</v>
      </c>
      <c r="L19">
        <f>IF($B19=1,0,MIN($B$13,MAX($B$12,ROUND(J19*K19*F19,0))))</f>
        <v>0</v>
      </c>
      <c r="M19">
        <f>IF($B19=1,0,1+($B$10*-10/12))</f>
        <v>0</v>
      </c>
      <c r="N19">
        <f>IF($B19=1,0,ROUND($B$8*M19*G19,2))</f>
        <v>0</v>
      </c>
      <c r="O19">
        <f>ROUND(L19*N19,2)</f>
        <v>0</v>
      </c>
      <c r="P19">
        <f>$B$11</f>
        <v>0.02</v>
      </c>
      <c r="Q19">
        <f>ROUND(IF(L19&gt;0,O19*P19,0),2)</f>
        <v>0</v>
      </c>
    </row>
    <row r="20">
      <c r="A20" t="inlineStr">
        <is>
          <t>2026-06-01</t>
        </is>
      </c>
      <c r="B20">
        <v>1</v>
      </c>
      <c r="C20" t="inlineStr">
        <is>
          <t>phase_1_user_growth</t>
        </is>
      </c>
      <c r="D20">
        <v>1.06357973164495</v>
      </c>
      <c r="E20">
        <f>MAX(0.7,1+_xlfn.NORM.INV(RAND(),0,$B$14*0.5))</f>
        <v>1.01755</v>
      </c>
      <c r="F20">
        <f>MAX(0.85,1+_xlfn.NORM.INV(RAND(),0,$B$14*0.4))</f>
        <v>1</v>
      </c>
      <c r="G20">
        <f>MAX(0.75,1+_xlfn.NORM.INV(RAND(),0,$B$14*0.35))</f>
        <v>1</v>
      </c>
      <c r="H20">
        <f>IF($B20=1,1,POWER(1+$B$9,-9/12))</f>
        <v>1</v>
      </c>
      <c r="I20">
        <f>IF($B20=1,E20,F20*G20)</f>
        <v>1.01755</v>
      </c>
      <c r="J20">
        <f>IF($B20=1,0,$B$12+($B$13-$B$12)*(-9/23))</f>
        <v>0</v>
      </c>
      <c r="K20">
        <f>IF($B20=1,0,0.85+0.15*D20)</f>
        <v>0</v>
      </c>
      <c r="L20">
        <f>IF($B20=1,0,MIN($B$13,MAX($B$12,ROUND(J20*K20*F20,0))))</f>
        <v>0</v>
      </c>
      <c r="M20">
        <f>IF($B20=1,0,1+($B$10*-9/12))</f>
        <v>0</v>
      </c>
      <c r="N20">
        <f>IF($B20=1,0,ROUND($B$8*M20*G20,2))</f>
        <v>0</v>
      </c>
      <c r="O20">
        <f>ROUND(L20*N20,2)</f>
        <v>0</v>
      </c>
      <c r="P20">
        <f>$B$11</f>
        <v>0.02</v>
      </c>
      <c r="Q20">
        <f>ROUND(IF(L20&gt;0,O20*P20,0),2)</f>
        <v>0</v>
      </c>
    </row>
    <row r="21">
      <c r="A21" t="inlineStr">
        <is>
          <t>2026-07-01</t>
        </is>
      </c>
      <c r="B21">
        <v>1</v>
      </c>
      <c r="C21" t="inlineStr">
        <is>
          <t>phase_1_user_growth</t>
        </is>
      </c>
      <c r="D21">
        <v>1.04666813491929</v>
      </c>
      <c r="E21">
        <f>MAX(0.7,1+_xlfn.NORM.INV(RAND(),0,$B$14*0.5))</f>
        <v>0.99681</v>
      </c>
      <c r="F21">
        <f>MAX(0.85,1+_xlfn.NORM.INV(RAND(),0,$B$14*0.4))</f>
        <v>1</v>
      </c>
      <c r="G21">
        <f>MAX(0.75,1+_xlfn.NORM.INV(RAND(),0,$B$14*0.35))</f>
        <v>1</v>
      </c>
      <c r="H21">
        <f>IF($B21=1,1,POWER(1+$B$9,-8/12))</f>
        <v>1</v>
      </c>
      <c r="I21">
        <f>IF($B21=1,E21,F21*G21)</f>
        <v>0.99681</v>
      </c>
      <c r="J21">
        <f>IF($B21=1,0,$B$12+($B$13-$B$12)*(-8/23))</f>
        <v>0</v>
      </c>
      <c r="K21">
        <f>IF($B21=1,0,0.85+0.15*D21)</f>
        <v>0</v>
      </c>
      <c r="L21">
        <f>IF($B21=1,0,MIN($B$13,MAX($B$12,ROUND(J21*K21*F21,0))))</f>
        <v>0</v>
      </c>
      <c r="M21">
        <f>IF($B21=1,0,1+($B$10*-8/12))</f>
        <v>0</v>
      </c>
      <c r="N21">
        <f>IF($B21=1,0,ROUND($B$8*M21*G21,2))</f>
        <v>0</v>
      </c>
      <c r="O21">
        <f>ROUND(L21*N21,2)</f>
        <v>0</v>
      </c>
      <c r="P21">
        <f>$B$11</f>
        <v>0.02</v>
      </c>
      <c r="Q21">
        <f>ROUND(IF(L21&gt;0,O21*P21,0),2)</f>
        <v>0</v>
      </c>
    </row>
    <row r="22">
      <c r="A22" t="inlineStr">
        <is>
          <t>2026-08-01</t>
        </is>
      </c>
      <c r="B22">
        <v>1</v>
      </c>
      <c r="C22" t="inlineStr">
        <is>
          <t>phase_1_user_growth</t>
        </is>
      </c>
      <c r="D22">
        <v>1.08164077629362</v>
      </c>
      <c r="E22">
        <f>MAX(0.7,1+_xlfn.NORM.INV(RAND(),0,$B$14*0.5))</f>
        <v>0.962566</v>
      </c>
      <c r="F22">
        <f>MAX(0.85,1+_xlfn.NORM.INV(RAND(),0,$B$14*0.4))</f>
        <v>1</v>
      </c>
      <c r="G22">
        <f>MAX(0.75,1+_xlfn.NORM.INV(RAND(),0,$B$14*0.35))</f>
        <v>1</v>
      </c>
      <c r="H22">
        <f>IF($B22=1,1,POWER(1+$B$9,-7/12))</f>
        <v>1</v>
      </c>
      <c r="I22">
        <f>IF($B22=1,E22,F22*G22)</f>
        <v>0.962566</v>
      </c>
      <c r="J22">
        <f>IF($B22=1,0,$B$12+($B$13-$B$12)*(-7/23))</f>
        <v>0</v>
      </c>
      <c r="K22">
        <f>IF($B22=1,0,0.85+0.15*D22)</f>
        <v>0</v>
      </c>
      <c r="L22">
        <f>IF($B22=1,0,MIN($B$13,MAX($B$12,ROUND(J22*K22*F22,0))))</f>
        <v>0</v>
      </c>
      <c r="M22">
        <f>IF($B22=1,0,1+($B$10*-7/12))</f>
        <v>0</v>
      </c>
      <c r="N22">
        <f>IF($B22=1,0,ROUND($B$8*M22*G22,2))</f>
        <v>0</v>
      </c>
      <c r="O22">
        <f>ROUND(L22*N22,2)</f>
        <v>0</v>
      </c>
      <c r="P22">
        <f>$B$11</f>
        <v>0.02</v>
      </c>
      <c r="Q22">
        <f>ROUND(IF(L22&gt;0,O22*P22,0),2)</f>
        <v>0</v>
      </c>
    </row>
    <row r="23">
      <c r="A23" t="inlineStr">
        <is>
          <t>2026-09-01</t>
        </is>
      </c>
      <c r="B23">
        <v>1</v>
      </c>
      <c r="C23" t="inlineStr">
        <is>
          <t>phase_1_user_growth</t>
        </is>
      </c>
      <c r="D23">
        <v>1.03979563529009</v>
      </c>
      <c r="E23">
        <f>MAX(0.7,1+_xlfn.NORM.INV(RAND(),0,$B$14*0.5))</f>
        <v>1.008308</v>
      </c>
      <c r="F23">
        <f>MAX(0.85,1+_xlfn.NORM.INV(RAND(),0,$B$14*0.4))</f>
        <v>1</v>
      </c>
      <c r="G23">
        <f>MAX(0.75,1+_xlfn.NORM.INV(RAND(),0,$B$14*0.35))</f>
        <v>1</v>
      </c>
      <c r="H23">
        <f>IF($B23=1,1,POWER(1+$B$9,-6/12))</f>
        <v>1</v>
      </c>
      <c r="I23">
        <f>IF($B23=1,E23,F23*G23)</f>
        <v>1.008308</v>
      </c>
      <c r="J23">
        <f>IF($B23=1,0,$B$12+($B$13-$B$12)*(-6/23))</f>
        <v>0</v>
      </c>
      <c r="K23">
        <f>IF($B23=1,0,0.85+0.15*D23)</f>
        <v>0</v>
      </c>
      <c r="L23">
        <f>IF($B23=1,0,MIN($B$13,MAX($B$12,ROUND(J23*K23*F23,0))))</f>
        <v>0</v>
      </c>
      <c r="M23">
        <f>IF($B23=1,0,1+($B$10*-6/12))</f>
        <v>0</v>
      </c>
      <c r="N23">
        <f>IF($B23=1,0,ROUND($B$8*M23*G23,2))</f>
        <v>0</v>
      </c>
      <c r="O23">
        <f>ROUND(L23*N23,2)</f>
        <v>0</v>
      </c>
      <c r="P23">
        <f>$B$11</f>
        <v>0.02</v>
      </c>
      <c r="Q23">
        <f>ROUND(IF(L23&gt;0,O23*P23,0),2)</f>
        <v>0</v>
      </c>
    </row>
    <row r="24">
      <c r="A24" t="inlineStr">
        <is>
          <t>2026-10-01</t>
        </is>
      </c>
      <c r="B24">
        <v>1</v>
      </c>
      <c r="C24" t="inlineStr">
        <is>
          <t>phase_1_user_growth</t>
        </is>
      </c>
      <c r="D24">
        <v>1.06919417834941</v>
      </c>
      <c r="E24">
        <f>MAX(0.7,1+_xlfn.NORM.INV(RAND(),0,$B$14*0.5))</f>
        <v>0.993317</v>
      </c>
      <c r="F24">
        <f>MAX(0.85,1+_xlfn.NORM.INV(RAND(),0,$B$14*0.4))</f>
        <v>1</v>
      </c>
      <c r="G24">
        <f>MAX(0.75,1+_xlfn.NORM.INV(RAND(),0,$B$14*0.35))</f>
        <v>1</v>
      </c>
      <c r="H24">
        <f>IF($B24=1,1,POWER(1+$B$9,-5/12))</f>
        <v>1</v>
      </c>
      <c r="I24">
        <f>IF($B24=1,E24,F24*G24)</f>
        <v>0.993317</v>
      </c>
      <c r="J24">
        <f>IF($B24=1,0,$B$12+($B$13-$B$12)*(-5/23))</f>
        <v>0</v>
      </c>
      <c r="K24">
        <f>IF($B24=1,0,0.85+0.15*D24)</f>
        <v>0</v>
      </c>
      <c r="L24">
        <f>IF($B24=1,0,MIN($B$13,MAX($B$12,ROUND(J24*K24*F24,0))))</f>
        <v>0</v>
      </c>
      <c r="M24">
        <f>IF($B24=1,0,1+($B$10*-5/12))</f>
        <v>0</v>
      </c>
      <c r="N24">
        <f>IF($B24=1,0,ROUND($B$8*M24*G24,2))</f>
        <v>0</v>
      </c>
      <c r="O24">
        <f>ROUND(L24*N24,2)</f>
        <v>0</v>
      </c>
      <c r="P24">
        <f>$B$11</f>
        <v>0.02</v>
      </c>
      <c r="Q24">
        <f>ROUND(IF(L24&gt;0,O24*P24,0),2)</f>
        <v>0</v>
      </c>
    </row>
    <row r="25">
      <c r="A25" t="inlineStr">
        <is>
          <t>2026-11-01</t>
        </is>
      </c>
      <c r="B25">
        <v>1</v>
      </c>
      <c r="C25" t="inlineStr">
        <is>
          <t>phase_1_user_growth</t>
        </is>
      </c>
      <c r="D25">
        <v>1.21332398881221</v>
      </c>
      <c r="E25">
        <f>MAX(0.7,1+_xlfn.NORM.INV(RAND(),0,$B$14*0.5))</f>
        <v>0.994576</v>
      </c>
      <c r="F25">
        <f>MAX(0.85,1+_xlfn.NORM.INV(RAND(),0,$B$14*0.4))</f>
        <v>1</v>
      </c>
      <c r="G25">
        <f>MAX(0.75,1+_xlfn.NORM.INV(RAND(),0,$B$14*0.35))</f>
        <v>1</v>
      </c>
      <c r="H25">
        <f>IF($B25=1,1,POWER(1+$B$9,-4/12))</f>
        <v>1</v>
      </c>
      <c r="I25">
        <f>IF($B25=1,E25,F25*G25)</f>
        <v>0.994576</v>
      </c>
      <c r="J25">
        <f>IF($B25=1,0,$B$12+($B$13-$B$12)*(-4/23))</f>
        <v>0</v>
      </c>
      <c r="K25">
        <f>IF($B25=1,0,0.85+0.15*D25)</f>
        <v>0</v>
      </c>
      <c r="L25">
        <f>IF($B25=1,0,MIN($B$13,MAX($B$12,ROUND(J25*K25*F25,0))))</f>
        <v>0</v>
      </c>
      <c r="M25">
        <f>IF($B25=1,0,1+($B$10*-4/12))</f>
        <v>0</v>
      </c>
      <c r="N25">
        <f>IF($B25=1,0,ROUND($B$8*M25*G25,2))</f>
        <v>0</v>
      </c>
      <c r="O25">
        <f>ROUND(L25*N25,2)</f>
        <v>0</v>
      </c>
      <c r="P25">
        <f>$B$11</f>
        <v>0.02</v>
      </c>
      <c r="Q25">
        <f>ROUND(IF(L25&gt;0,O25*P25,0),2)</f>
        <v>0</v>
      </c>
    </row>
    <row r="26">
      <c r="A26" t="inlineStr">
        <is>
          <t>2026-12-01</t>
        </is>
      </c>
      <c r="B26">
        <v>1</v>
      </c>
      <c r="C26" t="inlineStr">
        <is>
          <t>phase_1_user_growth</t>
        </is>
      </c>
      <c r="D26">
        <v>2.27627423629054</v>
      </c>
      <c r="E26">
        <f>MAX(0.7,1+_xlfn.NORM.INV(RAND(),0,$B$14*0.5))</f>
        <v>1.002897</v>
      </c>
      <c r="F26">
        <f>MAX(0.85,1+_xlfn.NORM.INV(RAND(),0,$B$14*0.4))</f>
        <v>1</v>
      </c>
      <c r="G26">
        <f>MAX(0.75,1+_xlfn.NORM.INV(RAND(),0,$B$14*0.35))</f>
        <v>1</v>
      </c>
      <c r="H26">
        <f>IF($B26=1,1,POWER(1+$B$9,-3/12))</f>
        <v>1</v>
      </c>
      <c r="I26">
        <f>IF($B26=1,E26,F26*G26)</f>
        <v>1.002897</v>
      </c>
      <c r="J26">
        <f>IF($B26=1,0,$B$12+($B$13-$B$12)*(-3/23))</f>
        <v>0</v>
      </c>
      <c r="K26">
        <f>IF($B26=1,0,0.85+0.15*D26)</f>
        <v>0</v>
      </c>
      <c r="L26">
        <f>IF($B26=1,0,MIN($B$13,MAX($B$12,ROUND(J26*K26*F26,0))))</f>
        <v>0</v>
      </c>
      <c r="M26">
        <f>IF($B26=1,0,1+($B$10*-3/12))</f>
        <v>0</v>
      </c>
      <c r="N26">
        <f>IF($B26=1,0,ROUND($B$8*M26*G26,2))</f>
        <v>0</v>
      </c>
      <c r="O26">
        <f>ROUND(L26*N26,2)</f>
        <v>0</v>
      </c>
      <c r="P26">
        <f>$B$11</f>
        <v>0.02</v>
      </c>
      <c r="Q26">
        <f>ROUND(IF(L26&gt;0,O26*P26,0),2)</f>
        <v>0</v>
      </c>
    </row>
    <row r="27">
      <c r="A27" t="inlineStr">
        <is>
          <t>2027-01-01</t>
        </is>
      </c>
      <c r="B27">
        <v>1</v>
      </c>
      <c r="C27" t="inlineStr">
        <is>
          <t>phase_1_user_growth</t>
        </is>
      </c>
      <c r="D27">
        <v>0.945877106974002</v>
      </c>
      <c r="E27">
        <f>MAX(0.7,1+_xlfn.NORM.INV(RAND(),0,$B$14*0.5))</f>
        <v>1.005807</v>
      </c>
      <c r="F27">
        <f>MAX(0.85,1+_xlfn.NORM.INV(RAND(),0,$B$14*0.4))</f>
        <v>1</v>
      </c>
      <c r="G27">
        <f>MAX(0.75,1+_xlfn.NORM.INV(RAND(),0,$B$14*0.35))</f>
        <v>1</v>
      </c>
      <c r="H27">
        <f>IF($B27=1,1,POWER(1+$B$9,-2/12))</f>
        <v>1</v>
      </c>
      <c r="I27">
        <f>IF($B27=1,E27,F27*G27)</f>
        <v>1.005807</v>
      </c>
      <c r="J27">
        <f>IF($B27=1,0,$B$12+($B$13-$B$12)*(-2/23))</f>
        <v>0</v>
      </c>
      <c r="K27">
        <f>IF($B27=1,0,0.85+0.15*D27)</f>
        <v>0</v>
      </c>
      <c r="L27">
        <f>IF($B27=1,0,MIN($B$13,MAX($B$12,ROUND(J27*K27*F27,0))))</f>
        <v>0</v>
      </c>
      <c r="M27">
        <f>IF($B27=1,0,1+($B$10*-2/12))</f>
        <v>0</v>
      </c>
      <c r="N27">
        <f>IF($B27=1,0,ROUND($B$8*M27*G27,2))</f>
        <v>0</v>
      </c>
      <c r="O27">
        <f>ROUND(L27*N27,2)</f>
        <v>0</v>
      </c>
      <c r="P27">
        <f>$B$11</f>
        <v>0.02</v>
      </c>
      <c r="Q27">
        <f>ROUND(IF(L27&gt;0,O27*P27,0),2)</f>
        <v>0</v>
      </c>
    </row>
    <row r="28">
      <c r="A28" t="inlineStr">
        <is>
          <t>2027-02-01</t>
        </is>
      </c>
      <c r="B28">
        <v>1</v>
      </c>
      <c r="C28" t="inlineStr">
        <is>
          <t>phase_1_user_growth</t>
        </is>
      </c>
      <c r="D28">
        <v>1.16796704745391</v>
      </c>
      <c r="E28">
        <f>MAX(0.7,1+_xlfn.NORM.INV(RAND(),0,$B$14*0.5))</f>
        <v>1.029089</v>
      </c>
      <c r="F28">
        <f>MAX(0.85,1+_xlfn.NORM.INV(RAND(),0,$B$14*0.4))</f>
        <v>1</v>
      </c>
      <c r="G28">
        <f>MAX(0.75,1+_xlfn.NORM.INV(RAND(),0,$B$14*0.35))</f>
        <v>1</v>
      </c>
      <c r="H28">
        <f>IF($B28=1,1,POWER(1+$B$9,-1/12))</f>
        <v>1</v>
      </c>
      <c r="I28">
        <f>IF($B28=1,E28,F28*G28)</f>
        <v>1.029089</v>
      </c>
      <c r="J28">
        <f>IF($B28=1,0,$B$12+($B$13-$B$12)*(-1/23))</f>
        <v>0</v>
      </c>
      <c r="K28">
        <f>IF($B28=1,0,0.85+0.15*D28)</f>
        <v>0</v>
      </c>
      <c r="L28">
        <f>IF($B28=1,0,MIN($B$13,MAX($B$12,ROUND(J28*K28*F28,0))))</f>
        <v>0</v>
      </c>
      <c r="M28">
        <f>IF($B28=1,0,1+($B$10*-1/12))</f>
        <v>0</v>
      </c>
      <c r="N28">
        <f>IF($B28=1,0,ROUND($B$8*M28*G28,2))</f>
        <v>0</v>
      </c>
      <c r="O28">
        <f>ROUND(L28*N28,2)</f>
        <v>0</v>
      </c>
      <c r="P28">
        <f>$B$11</f>
        <v>0.02</v>
      </c>
      <c r="Q28">
        <f>ROUND(IF(L28&gt;0,O28*P28,0),2)</f>
        <v>0</v>
      </c>
    </row>
    <row r="29">
      <c r="A29" t="inlineStr">
        <is>
          <t>2027-03-01</t>
        </is>
      </c>
      <c r="B29">
        <v>2</v>
      </c>
      <c r="C29" t="inlineStr">
        <is>
          <t>phase_2_marketplace_activation</t>
        </is>
      </c>
      <c r="D29">
        <v>1</v>
      </c>
      <c r="E29">
        <f>MAX(0.7,1+_xlfn.NORM.INV(RAND(),0,$B$14*0.5))</f>
        <v>1</v>
      </c>
      <c r="F29">
        <f>MAX(0.85,1+_xlfn.NORM.INV(RAND(),0,$B$14*0.4))</f>
        <v>1.013133</v>
      </c>
      <c r="G29">
        <f>MAX(0.75,1+_xlfn.NORM.INV(RAND(),0,$B$14*0.35))</f>
        <v>1.001934</v>
      </c>
      <c r="H29">
        <f>IF($B29=1,1,POWER(1+$B$9,0/12))</f>
        <v>1</v>
      </c>
      <c r="I29">
        <f>IF($B29=1,E29,F29*G29)</f>
        <v>1.015092</v>
      </c>
      <c r="J29">
        <f>IF($B29=1,0,$B$12+($B$13-$B$12)*(0/23))</f>
        <v>10</v>
      </c>
      <c r="K29">
        <f>IF($B29=1,0,0.85+0.15*D29)</f>
        <v>1</v>
      </c>
      <c r="L29">
        <f>IF($B29=1,0,MIN($B$13,MAX($B$12,ROUND(J29*K29*F29,0))))</f>
        <v>10</v>
      </c>
      <c r="M29">
        <f>IF($B29=1,0,1+($B$10*0/12))</f>
        <v>1</v>
      </c>
      <c r="N29">
        <f>IF($B29=1,0,ROUND($B$8*M29*G29,2))</f>
        <v>4221.7</v>
      </c>
      <c r="O29">
        <f>ROUND(L29*N29,2)</f>
        <v>42216.95</v>
      </c>
      <c r="P29">
        <f>$B$11</f>
        <v>0.02</v>
      </c>
      <c r="Q29">
        <f>ROUND(IF(L29&gt;0,O29*P29,0),2)</f>
        <v>844.34</v>
      </c>
    </row>
    <row r="30">
      <c r="A30" t="inlineStr">
        <is>
          <t>2027-04-01</t>
        </is>
      </c>
      <c r="B30">
        <v>2</v>
      </c>
      <c r="C30" t="inlineStr">
        <is>
          <t>phase_2_marketplace_activation</t>
        </is>
      </c>
      <c r="D30">
        <v>0.989947230456269</v>
      </c>
      <c r="E30">
        <f>MAX(0.7,1+_xlfn.NORM.INV(RAND(),0,$B$14*0.5))</f>
        <v>1</v>
      </c>
      <c r="F30">
        <f>MAX(0.85,1+_xlfn.NORM.INV(RAND(),0,$B$14*0.4))</f>
        <v>0.985234</v>
      </c>
      <c r="G30">
        <f>MAX(0.75,1+_xlfn.NORM.INV(RAND(),0,$B$14*0.35))</f>
        <v>0.982243</v>
      </c>
      <c r="H30">
        <f>IF($B30=1,1,POWER(1+$B$9,1/12))</f>
        <v>1.002466</v>
      </c>
      <c r="I30">
        <f>IF($B30=1,E30,F30*G30)</f>
        <v>0.967739</v>
      </c>
      <c r="J30">
        <f>IF($B30=1,0,$B$12+($B$13-$B$12)*(1/23))</f>
        <v>26.9565217391304</v>
      </c>
      <c r="K30">
        <f>IF($B30=1,0,0.85+0.15*D30)</f>
        <v>0.99849208456844</v>
      </c>
      <c r="L30">
        <f>IF($B30=1,0,MIN($B$13,MAX($B$12,ROUND(J30*K30*F30,0))))</f>
        <v>27</v>
      </c>
      <c r="M30">
        <f>IF($B30=1,0,1+($B$10*1/12))</f>
        <v>1.0025</v>
      </c>
      <c r="N30">
        <f>IF($B30=1,0,ROUND($B$8*M30*G30,2))</f>
        <v>4149.08</v>
      </c>
      <c r="O30">
        <f>ROUND(L30*N30,2)</f>
        <v>112025.03</v>
      </c>
      <c r="P30">
        <f>$B$11</f>
        <v>0.02</v>
      </c>
      <c r="Q30">
        <f>ROUND(IF(L30&gt;0,O30*P30,0),2)</f>
        <v>2240.5</v>
      </c>
    </row>
    <row r="31">
      <c r="A31" t="inlineStr">
        <is>
          <t>2027-05-01</t>
        </is>
      </c>
      <c r="B31">
        <v>2</v>
      </c>
      <c r="C31" t="inlineStr">
        <is>
          <t>phase_2_marketplace_activation</t>
        </is>
      </c>
      <c r="D31">
        <v>1.18893941969815</v>
      </c>
      <c r="E31">
        <f>MAX(0.7,1+_xlfn.NORM.INV(RAND(),0,$B$14*0.5))</f>
        <v>1</v>
      </c>
      <c r="F31">
        <f>MAX(0.85,1+_xlfn.NORM.INV(RAND(),0,$B$14*0.4))</f>
        <v>1.004927</v>
      </c>
      <c r="G31">
        <f>MAX(0.75,1+_xlfn.NORM.INV(RAND(),0,$B$14*0.35))</f>
        <v>1.022944</v>
      </c>
      <c r="H31">
        <f>IF($B31=1,1,POWER(1+$B$9,2/12))</f>
        <v>1.004939</v>
      </c>
      <c r="I31">
        <f>IF($B31=1,E31,F31*G31)</f>
        <v>1.027984</v>
      </c>
      <c r="J31">
        <f>IF($B31=1,0,$B$12+($B$13-$B$12)*(2/23))</f>
        <v>43.9130434782609</v>
      </c>
      <c r="K31">
        <f>IF($B31=1,0,0.85+0.15*D31)</f>
        <v>1.02834091295472</v>
      </c>
      <c r="L31">
        <f>IF($B31=1,0,MIN($B$13,MAX($B$12,ROUND(J31*K31*F31,0))))</f>
        <v>45</v>
      </c>
      <c r="M31">
        <f>IF($B31=1,0,1+($B$10*2/12))</f>
        <v>1.005</v>
      </c>
      <c r="N31">
        <f>IF($B31=1,0,ROUND($B$8*M31*G31,2))</f>
        <v>4331.77</v>
      </c>
      <c r="O31">
        <f>ROUND(L31*N31,2)</f>
        <v>194929.79</v>
      </c>
      <c r="P31">
        <f>$B$11</f>
        <v>0.02</v>
      </c>
      <c r="Q31">
        <f>ROUND(IF(L31&gt;0,O31*P31,0),2)</f>
        <v>3898.6</v>
      </c>
    </row>
    <row r="32">
      <c r="A32" t="inlineStr">
        <is>
          <t>2027-06-01</t>
        </is>
      </c>
      <c r="B32">
        <v>2</v>
      </c>
      <c r="C32" t="inlineStr">
        <is>
          <t>phase_2_marketplace_activation</t>
        </is>
      </c>
      <c r="D32">
        <v>1.06357973164495</v>
      </c>
      <c r="E32">
        <f>MAX(0.7,1+_xlfn.NORM.INV(RAND(),0,$B$14*0.5))</f>
        <v>1</v>
      </c>
      <c r="F32">
        <f>MAX(0.85,1+_xlfn.NORM.INV(RAND(),0,$B$14*0.4))</f>
        <v>1.000833</v>
      </c>
      <c r="G32">
        <f>MAX(0.75,1+_xlfn.NORM.INV(RAND(),0,$B$14*0.35))</f>
        <v>0.998139</v>
      </c>
      <c r="H32">
        <f>IF($B32=1,1,POWER(1+$B$9,3/12))</f>
        <v>1.007417</v>
      </c>
      <c r="I32">
        <f>IF($B32=1,E32,F32*G32)</f>
        <v>0.998971</v>
      </c>
      <c r="J32">
        <f>IF($B32=1,0,$B$12+($B$13-$B$12)*(3/23))</f>
        <v>60.8695652173913</v>
      </c>
      <c r="K32">
        <f>IF($B32=1,0,0.85+0.15*D32)</f>
        <v>1.00953695974674</v>
      </c>
      <c r="L32">
        <f>IF($B32=1,0,MIN($B$13,MAX($B$12,ROUND(J32*K32*F32,0))))</f>
        <v>62</v>
      </c>
      <c r="M32">
        <f>IF($B32=1,0,1+($B$10*3/12))</f>
        <v>1.0075</v>
      </c>
      <c r="N32">
        <f>IF($B32=1,0,ROUND($B$8*M32*G32,2))</f>
        <v>4237.25</v>
      </c>
      <c r="O32">
        <f>ROUND(L32*N32,2)</f>
        <v>262709.47</v>
      </c>
      <c r="P32">
        <f>$B$11</f>
        <v>0.02</v>
      </c>
      <c r="Q32">
        <f>ROUND(IF(L32&gt;0,O32*P32,0),2)</f>
        <v>5254.19</v>
      </c>
    </row>
    <row r="33">
      <c r="A33" t="inlineStr">
        <is>
          <t>2027-07-01</t>
        </is>
      </c>
      <c r="B33">
        <v>2</v>
      </c>
      <c r="C33" t="inlineStr">
        <is>
          <t>phase_2_marketplace_activation</t>
        </is>
      </c>
      <c r="D33">
        <v>1.04666813491929</v>
      </c>
      <c r="E33">
        <f>MAX(0.7,1+_xlfn.NORM.INV(RAND(),0,$B$14*0.5))</f>
        <v>1</v>
      </c>
      <c r="F33">
        <f>MAX(0.85,1+_xlfn.NORM.INV(RAND(),0,$B$14*0.4))</f>
        <v>1.010636</v>
      </c>
      <c r="G33">
        <f>MAX(0.75,1+_xlfn.NORM.INV(RAND(),0,$B$14*0.35))</f>
        <v>0.974563</v>
      </c>
      <c r="H33">
        <f>IF($B33=1,1,POWER(1+$B$9,4/12))</f>
        <v>1.009902</v>
      </c>
      <c r="I33">
        <f>IF($B33=1,E33,F33*G33)</f>
        <v>0.984928</v>
      </c>
      <c r="J33">
        <f>IF($B33=1,0,$B$12+($B$13-$B$12)*(4/23))</f>
        <v>77.8260869565217</v>
      </c>
      <c r="K33">
        <f>IF($B33=1,0,0.85+0.15*D33)</f>
        <v>1.00700022023789</v>
      </c>
      <c r="L33">
        <f>IF($B33=1,0,MIN($B$13,MAX($B$12,ROUND(J33*K33*F33,0))))</f>
        <v>79</v>
      </c>
      <c r="M33">
        <f>IF($B33=1,0,1+($B$10*4/12))</f>
        <v>1.01</v>
      </c>
      <c r="N33">
        <f>IF($B33=1,0,ROUND($B$8*M33*G33,2))</f>
        <v>4147.43</v>
      </c>
      <c r="O33">
        <f>ROUND(L33*N33,2)</f>
        <v>327646.99</v>
      </c>
      <c r="P33">
        <f>$B$11</f>
        <v>0.02</v>
      </c>
      <c r="Q33">
        <f>ROUND(IF(L33&gt;0,O33*P33,0),2)</f>
        <v>6552.94</v>
      </c>
    </row>
    <row r="34">
      <c r="A34" t="inlineStr">
        <is>
          <t>2027-08-01</t>
        </is>
      </c>
      <c r="B34">
        <v>2</v>
      </c>
      <c r="C34" t="inlineStr">
        <is>
          <t>phase_2_marketplace_activation</t>
        </is>
      </c>
      <c r="D34">
        <v>1.08164077629362</v>
      </c>
      <c r="E34">
        <f>MAX(0.7,1+_xlfn.NORM.INV(RAND(),0,$B$14*0.5))</f>
        <v>1</v>
      </c>
      <c r="F34">
        <f>MAX(0.85,1+_xlfn.NORM.INV(RAND(),0,$B$14*0.4))</f>
        <v>0.993754</v>
      </c>
      <c r="G34">
        <f>MAX(0.75,1+_xlfn.NORM.INV(RAND(),0,$B$14*0.35))</f>
        <v>1.008581</v>
      </c>
      <c r="H34">
        <f>IF($B34=1,1,POWER(1+$B$9,5/12))</f>
        <v>1.012392</v>
      </c>
      <c r="I34">
        <f>IF($B34=1,E34,F34*G34)</f>
        <v>1.002282</v>
      </c>
      <c r="J34">
        <f>IF($B34=1,0,$B$12+($B$13-$B$12)*(5/23))</f>
        <v>94.7826086956522</v>
      </c>
      <c r="K34">
        <f>IF($B34=1,0,0.85+0.15*D34)</f>
        <v>1.01224611644404</v>
      </c>
      <c r="L34">
        <f>IF($B34=1,0,MIN($B$13,MAX($B$12,ROUND(J34*K34*F34,0))))</f>
        <v>95</v>
      </c>
      <c r="M34">
        <f>IF($B34=1,0,1+($B$10*5/12))</f>
        <v>1.0125</v>
      </c>
      <c r="N34">
        <f>IF($B34=1,0,ROUND($B$8*M34*G34,2))</f>
        <v>4302.83</v>
      </c>
      <c r="O34">
        <f>ROUND(L34*N34,2)</f>
        <v>408768.46</v>
      </c>
      <c r="P34">
        <f>$B$11</f>
        <v>0.02</v>
      </c>
      <c r="Q34">
        <f>ROUND(IF(L34&gt;0,O34*P34,0),2)</f>
        <v>8175.37</v>
      </c>
    </row>
    <row r="35">
      <c r="A35" t="inlineStr">
        <is>
          <t>2027-09-01</t>
        </is>
      </c>
      <c r="B35">
        <v>2</v>
      </c>
      <c r="C35" t="inlineStr">
        <is>
          <t>phase_2_marketplace_activation</t>
        </is>
      </c>
      <c r="D35">
        <v>1.03979563529009</v>
      </c>
      <c r="E35">
        <f>MAX(0.7,1+_xlfn.NORM.INV(RAND(),0,$B$14*0.5))</f>
        <v>1</v>
      </c>
      <c r="F35">
        <f>MAX(0.85,1+_xlfn.NORM.INV(RAND(),0,$B$14*0.4))</f>
        <v>1.017468</v>
      </c>
      <c r="G35">
        <f>MAX(0.75,1+_xlfn.NORM.INV(RAND(),0,$B$14*0.35))</f>
        <v>0.995789</v>
      </c>
      <c r="H35">
        <f>IF($B35=1,1,POWER(1+$B$9,6/12))</f>
        <v>1.014889</v>
      </c>
      <c r="I35">
        <f>IF($B35=1,E35,F35*G35)</f>
        <v>1.013184</v>
      </c>
      <c r="J35">
        <f>IF($B35=1,0,$B$12+($B$13-$B$12)*(6/23))</f>
        <v>111.739130434783</v>
      </c>
      <c r="K35">
        <f>IF($B35=1,0,0.85+0.15*D35)</f>
        <v>1.00596934529351</v>
      </c>
      <c r="L35">
        <f>IF($B35=1,0,MIN($B$13,MAX($B$12,ROUND(J35*K35*F35,0))))</f>
        <v>114</v>
      </c>
      <c r="M35">
        <f>IF($B35=1,0,1+($B$10*6/12))</f>
        <v>1.015</v>
      </c>
      <c r="N35">
        <f>IF($B35=1,0,ROUND($B$8*M35*G35,2))</f>
        <v>4258.74</v>
      </c>
      <c r="O35">
        <f>ROUND(L35*N35,2)</f>
        <v>485496.41</v>
      </c>
      <c r="P35">
        <f>$B$11</f>
        <v>0.02</v>
      </c>
      <c r="Q35">
        <f>ROUND(IF(L35&gt;0,O35*P35,0),2)</f>
        <v>9709.93</v>
      </c>
    </row>
    <row r="36">
      <c r="A36" t="inlineStr">
        <is>
          <t>2027-10-01</t>
        </is>
      </c>
      <c r="B36">
        <v>2</v>
      </c>
      <c r="C36" t="inlineStr">
        <is>
          <t>phase_2_marketplace_activation</t>
        </is>
      </c>
      <c r="D36">
        <v>1.06919417834941</v>
      </c>
      <c r="E36">
        <f>MAX(0.7,1+_xlfn.NORM.INV(RAND(),0,$B$14*0.5))</f>
        <v>1</v>
      </c>
      <c r="F36">
        <f>MAX(0.85,1+_xlfn.NORM.INV(RAND(),0,$B$14*0.4))</f>
        <v>1.007532</v>
      </c>
      <c r="G36">
        <f>MAX(0.75,1+_xlfn.NORM.INV(RAND(),0,$B$14*0.35))</f>
        <v>1.004344</v>
      </c>
      <c r="H36">
        <f>IF($B36=1,1,POWER(1+$B$9,7/12))</f>
        <v>1.017392</v>
      </c>
      <c r="I36">
        <f>IF($B36=1,E36,F36*G36)</f>
        <v>1.011908</v>
      </c>
      <c r="J36">
        <f>IF($B36=1,0,$B$12+($B$13-$B$12)*(7/23))</f>
        <v>128.695652173913</v>
      </c>
      <c r="K36">
        <f>IF($B36=1,0,0.85+0.15*D36)</f>
        <v>1.01037912675241</v>
      </c>
      <c r="L36">
        <f>IF($B36=1,0,MIN($B$13,MAX($B$12,ROUND(J36*K36*F36,0))))</f>
        <v>131</v>
      </c>
      <c r="M36">
        <f>IF($B36=1,0,1+($B$10*7/12))</f>
        <v>1.0175</v>
      </c>
      <c r="N36">
        <f>IF($B36=1,0,ROUND($B$8*M36*G36,2))</f>
        <v>4305.91</v>
      </c>
      <c r="O36">
        <f>ROUND(L36*N36,2)</f>
        <v>564073.76</v>
      </c>
      <c r="P36">
        <f>$B$11</f>
        <v>0.02</v>
      </c>
      <c r="Q36">
        <f>ROUND(IF(L36&gt;0,O36*P36,0),2)</f>
        <v>11281.48</v>
      </c>
    </row>
    <row r="37">
      <c r="A37" t="inlineStr">
        <is>
          <t>2027-11-01</t>
        </is>
      </c>
      <c r="B37">
        <v>2</v>
      </c>
      <c r="C37" t="inlineStr">
        <is>
          <t>phase_2_marketplace_activation</t>
        </is>
      </c>
      <c r="D37">
        <v>1.21332398881221</v>
      </c>
      <c r="E37">
        <f>MAX(0.7,1+_xlfn.NORM.INV(RAND(),0,$B$14*0.5))</f>
        <v>1</v>
      </c>
      <c r="F37">
        <f>MAX(0.85,1+_xlfn.NORM.INV(RAND(),0,$B$14*0.4))</f>
        <v>1.015647</v>
      </c>
      <c r="G37">
        <f>MAX(0.75,1+_xlfn.NORM.INV(RAND(),0,$B$14*0.35))</f>
        <v>0.980519</v>
      </c>
      <c r="H37">
        <f>IF($B37=1,1,POWER(1+$B$9,8/12))</f>
        <v>1.019901</v>
      </c>
      <c r="I37">
        <f>IF($B37=1,E37,F37*G37)</f>
        <v>0.99586</v>
      </c>
      <c r="J37">
        <f>IF($B37=1,0,$B$12+($B$13-$B$12)*(8/23))</f>
        <v>145.652173913043</v>
      </c>
      <c r="K37">
        <f>IF($B37=1,0,0.85+0.15*D37)</f>
        <v>1.03199859832183</v>
      </c>
      <c r="L37">
        <f>IF($B37=1,0,MIN($B$13,MAX($B$12,ROUND(J37*K37*F37,0))))</f>
        <v>153</v>
      </c>
      <c r="M37">
        <f>IF($B37=1,0,1+($B$10*8/12))</f>
        <v>1.02</v>
      </c>
      <c r="N37">
        <f>IF($B37=1,0,ROUND($B$8*M37*G37,2))</f>
        <v>4214.09</v>
      </c>
      <c r="O37">
        <f>ROUND(L37*N37,2)</f>
        <v>644755.8</v>
      </c>
      <c r="P37">
        <f>$B$11</f>
        <v>0.02</v>
      </c>
      <c r="Q37">
        <f>ROUND(IF(L37&gt;0,O37*P37,0),2)</f>
        <v>12895.12</v>
      </c>
    </row>
    <row r="38">
      <c r="A38" t="inlineStr">
        <is>
          <t>2027-12-01</t>
        </is>
      </c>
      <c r="B38">
        <v>2</v>
      </c>
      <c r="C38" t="inlineStr">
        <is>
          <t>phase_2_marketplace_activation</t>
        </is>
      </c>
      <c r="D38">
        <v>2.27627423629054</v>
      </c>
      <c r="E38">
        <f>MAX(0.7,1+_xlfn.NORM.INV(RAND(),0,$B$14*0.5))</f>
        <v>1</v>
      </c>
      <c r="F38">
        <f>MAX(0.85,1+_xlfn.NORM.INV(RAND(),0,$B$14*0.4))</f>
        <v>1.011365</v>
      </c>
      <c r="G38">
        <f>MAX(0.75,1+_xlfn.NORM.INV(RAND(),0,$B$14*0.35))</f>
        <v>0.973496</v>
      </c>
      <c r="H38">
        <f>IF($B38=1,1,POWER(1+$B$9,9/12))</f>
        <v>1.022417</v>
      </c>
      <c r="I38">
        <f>IF($B38=1,E38,F38*G38)</f>
        <v>0.98456</v>
      </c>
      <c r="J38">
        <f>IF($B38=1,0,$B$12+($B$13-$B$12)*(9/23))</f>
        <v>162.608695652174</v>
      </c>
      <c r="K38">
        <f>IF($B38=1,0,0.85+0.15*D38)</f>
        <v>1.19144113544358</v>
      </c>
      <c r="L38">
        <f>IF($B38=1,0,MIN($B$13,MAX($B$12,ROUND(J38*K38*F38,0))))</f>
        <v>196</v>
      </c>
      <c r="M38">
        <f>IF($B38=1,0,1+($B$10*9/12))</f>
        <v>1.0225</v>
      </c>
      <c r="N38">
        <f>IF($B38=1,0,ROUND($B$8*M38*G38,2))</f>
        <v>4194.16</v>
      </c>
      <c r="O38">
        <f>ROUND(L38*N38,2)</f>
        <v>822055.85</v>
      </c>
      <c r="P38">
        <f>$B$11</f>
        <v>0.02</v>
      </c>
      <c r="Q38">
        <f>ROUND(IF(L38&gt;0,O38*P38,0),2)</f>
        <v>16441.12</v>
      </c>
    </row>
    <row r="39">
      <c r="A39" t="inlineStr">
        <is>
          <t>2028-01-01</t>
        </is>
      </c>
      <c r="B39">
        <v>2</v>
      </c>
      <c r="C39" t="inlineStr">
        <is>
          <t>phase_2_marketplace_activation</t>
        </is>
      </c>
      <c r="D39">
        <v>0.945877106974002</v>
      </c>
      <c r="E39">
        <f>MAX(0.7,1+_xlfn.NORM.INV(RAND(),0,$B$14*0.5))</f>
        <v>1</v>
      </c>
      <c r="F39">
        <f>MAX(0.85,1+_xlfn.NORM.INV(RAND(),0,$B$14*0.4))</f>
        <v>0.947601</v>
      </c>
      <c r="G39">
        <f>MAX(0.75,1+_xlfn.NORM.INV(RAND(),0,$B$14*0.35))</f>
        <v>0.989379</v>
      </c>
      <c r="H39">
        <f>IF($B39=1,1,POWER(1+$B$9,10/12))</f>
        <v>1.024938</v>
      </c>
      <c r="I39">
        <f>IF($B39=1,E39,F39*G39)</f>
        <v>0.937537</v>
      </c>
      <c r="J39">
        <f>IF($B39=1,0,$B$12+($B$13-$B$12)*(10/23))</f>
        <v>179.565217391304</v>
      </c>
      <c r="K39">
        <f>IF($B39=1,0,0.85+0.15*D39)</f>
        <v>0.9918815660461</v>
      </c>
      <c r="L39">
        <f>IF($B39=1,0,MIN($B$13,MAX($B$12,ROUND(J39*K39*F39,0))))</f>
        <v>169</v>
      </c>
      <c r="M39">
        <f>IF($B39=1,0,1+($B$10*10/12))</f>
        <v>1.025</v>
      </c>
      <c r="N39">
        <f>IF($B39=1,0,ROUND($B$8*M39*G39,2))</f>
        <v>4273.02</v>
      </c>
      <c r="O39">
        <f>ROUND(L39*N39,2)</f>
        <v>722139.75</v>
      </c>
      <c r="P39">
        <f>$B$11</f>
        <v>0.02</v>
      </c>
      <c r="Q39">
        <f>ROUND(IF(L39&gt;0,O39*P39,0),2)</f>
        <v>14442.79</v>
      </c>
    </row>
    <row r="40">
      <c r="A40" t="inlineStr">
        <is>
          <t>2028-02-01</t>
        </is>
      </c>
      <c r="B40">
        <v>2</v>
      </c>
      <c r="C40" t="inlineStr">
        <is>
          <t>phase_2_marketplace_activation</t>
        </is>
      </c>
      <c r="D40">
        <v>1.16796704745391</v>
      </c>
      <c r="E40">
        <f>MAX(0.7,1+_xlfn.NORM.INV(RAND(),0,$B$14*0.5))</f>
        <v>1</v>
      </c>
      <c r="F40">
        <f>MAX(0.85,1+_xlfn.NORM.INV(RAND(),0,$B$14*0.4))</f>
        <v>0.981684</v>
      </c>
      <c r="G40">
        <f>MAX(0.75,1+_xlfn.NORM.INV(RAND(),0,$B$14*0.35))</f>
        <v>1.01533</v>
      </c>
      <c r="H40">
        <f>IF($B40=1,1,POWER(1+$B$9,11/12))</f>
        <v>1.027466</v>
      </c>
      <c r="I40">
        <f>IF($B40=1,E40,F40*G40)</f>
        <v>0.996733</v>
      </c>
      <c r="J40">
        <f>IF($B40=1,0,$B$12+($B$13-$B$12)*(11/23))</f>
        <v>196.521739130435</v>
      </c>
      <c r="K40">
        <f>IF($B40=1,0,0.85+0.15*D40)</f>
        <v>1.02519505711809</v>
      </c>
      <c r="L40">
        <f>IF($B40=1,0,MIN($B$13,MAX($B$12,ROUND(J40*K40*F40,0))))</f>
        <v>198</v>
      </c>
      <c r="M40">
        <f>IF($B40=1,0,1+($B$10*11/12))</f>
        <v>1.0275</v>
      </c>
      <c r="N40">
        <f>IF($B40=1,0,ROUND($B$8*M40*G40,2))</f>
        <v>4395.79</v>
      </c>
      <c r="O40">
        <f>ROUND(L40*N40,2)</f>
        <v>870366.45</v>
      </c>
      <c r="P40">
        <f>$B$11</f>
        <v>0.02</v>
      </c>
      <c r="Q40">
        <f>ROUND(IF(L40&gt;0,O40*P40,0),2)</f>
        <v>17407.33</v>
      </c>
    </row>
    <row r="41">
      <c r="A41" t="inlineStr">
        <is>
          <t>2028-03-01</t>
        </is>
      </c>
      <c r="B41">
        <v>3</v>
      </c>
      <c r="C41" t="inlineStr">
        <is>
          <t>phase_3_projection</t>
        </is>
      </c>
      <c r="D41">
        <v>1</v>
      </c>
      <c r="E41">
        <f>MAX(0.7,1+_xlfn.NORM.INV(RAND(),0,$B$14*0.5))</f>
        <v>1</v>
      </c>
      <c r="F41">
        <f>MAX(0.85,1+_xlfn.NORM.INV(RAND(),0,$B$14*0.4))</f>
        <v>1.013285</v>
      </c>
      <c r="G41">
        <f>MAX(0.75,1+_xlfn.NORM.INV(RAND(),0,$B$14*0.35))</f>
        <v>0.978666</v>
      </c>
      <c r="H41">
        <f>IF($B41=1,1,POWER(1+$B$9,12/12))</f>
        <v>1.03</v>
      </c>
      <c r="I41">
        <f>IF($B41=1,E41,F41*G41)</f>
        <v>0.991668</v>
      </c>
      <c r="J41">
        <f>IF($B41=1,0,$B$12+($B$13-$B$12)*(12/23))</f>
        <v>213.478260869565</v>
      </c>
      <c r="K41">
        <f>IF($B41=1,0,0.85+0.15*D41)</f>
        <v>1</v>
      </c>
      <c r="L41">
        <f>IF($B41=1,0,MIN($B$13,MAX($B$12,ROUND(J41*K41*F41,0))))</f>
        <v>216</v>
      </c>
      <c r="M41">
        <f>IF($B41=1,0,1+($B$10*12/12))</f>
        <v>1.03</v>
      </c>
      <c r="N41">
        <f>IF($B41=1,0,ROUND($B$8*M41*G41,2))</f>
        <v>4247.37</v>
      </c>
      <c r="O41">
        <f>ROUND(L41*N41,2)</f>
        <v>917430.92</v>
      </c>
      <c r="P41">
        <f>$B$11</f>
        <v>0.02</v>
      </c>
      <c r="Q41">
        <f>ROUND(IF(L41&gt;0,O41*P41,0),2)</f>
        <v>18348.62</v>
      </c>
    </row>
    <row r="42">
      <c r="A42" t="inlineStr">
        <is>
          <t>2028-04-01</t>
        </is>
      </c>
      <c r="B42">
        <v>3</v>
      </c>
      <c r="C42" t="inlineStr">
        <is>
          <t>phase_3_projection</t>
        </is>
      </c>
      <c r="D42">
        <v>0.989947230456269</v>
      </c>
      <c r="E42">
        <f>MAX(0.7,1+_xlfn.NORM.INV(RAND(),0,$B$14*0.5))</f>
        <v>1</v>
      </c>
      <c r="F42">
        <f>MAX(0.85,1+_xlfn.NORM.INV(RAND(),0,$B$14*0.4))</f>
        <v>1.016947</v>
      </c>
      <c r="G42">
        <f>MAX(0.75,1+_xlfn.NORM.INV(RAND(),0,$B$14*0.35))</f>
        <v>0.982461</v>
      </c>
      <c r="H42">
        <f>IF($B42=1,1,POWER(1+$B$9,13/12))</f>
        <v>1.03254</v>
      </c>
      <c r="I42">
        <f>IF($B42=1,E42,F42*G42)</f>
        <v>0.999111</v>
      </c>
      <c r="J42">
        <f>IF($B42=1,0,$B$12+($B$13-$B$12)*(13/23))</f>
        <v>230.434782608696</v>
      </c>
      <c r="K42">
        <f>IF($B42=1,0,0.85+0.15*D42)</f>
        <v>0.99849208456844</v>
      </c>
      <c r="L42">
        <f>IF($B42=1,0,MIN($B$13,MAX($B$12,ROUND(J42*K42*F42,0))))</f>
        <v>234</v>
      </c>
      <c r="M42">
        <f>IF($B42=1,0,1+($B$10*13/12))</f>
        <v>1.0325</v>
      </c>
      <c r="N42">
        <f>IF($B42=1,0,ROUND($B$8*M42*G42,2))</f>
        <v>4274.19</v>
      </c>
      <c r="O42">
        <f>ROUND(L42*N42,2)</f>
        <v>1000159.46</v>
      </c>
      <c r="P42">
        <f>$B$11</f>
        <v>0.02</v>
      </c>
      <c r="Q42">
        <f>ROUND(IF(L42&gt;0,O42*P42,0),2)</f>
        <v>20003.19</v>
      </c>
    </row>
    <row r="43">
      <c r="A43" t="inlineStr">
        <is>
          <t>2028-05-01</t>
        </is>
      </c>
      <c r="B43">
        <v>3</v>
      </c>
      <c r="C43" t="inlineStr">
        <is>
          <t>phase_3_projection</t>
        </is>
      </c>
      <c r="D43">
        <v>1.18893941969815</v>
      </c>
      <c r="E43">
        <f>MAX(0.7,1+_xlfn.NORM.INV(RAND(),0,$B$14*0.5))</f>
        <v>1</v>
      </c>
      <c r="F43">
        <f>MAX(0.85,1+_xlfn.NORM.INV(RAND(),0,$B$14*0.4))</f>
        <v>0.998275</v>
      </c>
      <c r="G43">
        <f>MAX(0.75,1+_xlfn.NORM.INV(RAND(),0,$B$14*0.35))</f>
        <v>0.994857</v>
      </c>
      <c r="H43">
        <f>IF($B43=1,1,POWER(1+$B$9,14/12))</f>
        <v>1.035087</v>
      </c>
      <c r="I43">
        <f>IF($B43=1,E43,F43*G43)</f>
        <v>0.993141</v>
      </c>
      <c r="J43">
        <f>IF($B43=1,0,$B$12+($B$13-$B$12)*(14/23))</f>
        <v>247.391304347826</v>
      </c>
      <c r="K43">
        <f>IF($B43=1,0,0.85+0.15*D43)</f>
        <v>1.02834091295472</v>
      </c>
      <c r="L43">
        <f>IF($B43=1,0,MIN($B$13,MAX($B$12,ROUND(J43*K43*F43,0))))</f>
        <v>254</v>
      </c>
      <c r="M43">
        <f>IF($B43=1,0,1+($B$10*14/12))</f>
        <v>1.035</v>
      </c>
      <c r="N43">
        <f>IF($B43=1,0,ROUND($B$8*M43*G43,2))</f>
        <v>4338.59</v>
      </c>
      <c r="O43">
        <f>ROUND(L43*N43,2)</f>
        <v>1102002.12</v>
      </c>
      <c r="P43">
        <f>$B$11</f>
        <v>0.02</v>
      </c>
      <c r="Q43">
        <f>ROUND(IF(L43&gt;0,O43*P43,0),2)</f>
        <v>22040.04</v>
      </c>
    </row>
    <row r="44">
      <c r="A44" t="inlineStr">
        <is>
          <t>2028-06-01</t>
        </is>
      </c>
      <c r="B44">
        <v>3</v>
      </c>
      <c r="C44" t="inlineStr">
        <is>
          <t>phase_3_projection</t>
        </is>
      </c>
      <c r="D44">
        <v>1.06357973164495</v>
      </c>
      <c r="E44">
        <f>MAX(0.7,1+_xlfn.NORM.INV(RAND(),0,$B$14*0.5))</f>
        <v>1</v>
      </c>
      <c r="F44">
        <f>MAX(0.85,1+_xlfn.NORM.INV(RAND(),0,$B$14*0.4))</f>
        <v>1.002288</v>
      </c>
      <c r="G44">
        <f>MAX(0.75,1+_xlfn.NORM.INV(RAND(),0,$B$14*0.35))</f>
        <v>1.014326</v>
      </c>
      <c r="H44">
        <f>IF($B44=1,1,POWER(1+$B$9,15/12))</f>
        <v>1.03764</v>
      </c>
      <c r="I44">
        <f>IF($B44=1,E44,F44*G44)</f>
        <v>1.016647</v>
      </c>
      <c r="J44">
        <f>IF($B44=1,0,$B$12+($B$13-$B$12)*(15/23))</f>
        <v>264.347826086957</v>
      </c>
      <c r="K44">
        <f>IF($B44=1,0,0.85+0.15*D44)</f>
        <v>1.00953695974674</v>
      </c>
      <c r="L44">
        <f>IF($B44=1,0,MIN($B$13,MAX($B$12,ROUND(J44*K44*F44,0))))</f>
        <v>267</v>
      </c>
      <c r="M44">
        <f>IF($B44=1,0,1+($B$10*15/12))</f>
        <v>1.0375</v>
      </c>
      <c r="N44">
        <f>IF($B44=1,0,ROUND($B$8*M44*G44,2))</f>
        <v>4434.18</v>
      </c>
      <c r="O44">
        <f>ROUND(L44*N44,2)</f>
        <v>1183926.64</v>
      </c>
      <c r="P44">
        <f>$B$11</f>
        <v>0.02</v>
      </c>
      <c r="Q44">
        <f>ROUND(IF(L44&gt;0,O44*P44,0),2)</f>
        <v>23678.53</v>
      </c>
    </row>
    <row r="45">
      <c r="A45" t="inlineStr">
        <is>
          <t>2028-07-01</t>
        </is>
      </c>
      <c r="B45">
        <v>3</v>
      </c>
      <c r="C45" t="inlineStr">
        <is>
          <t>phase_3_projection</t>
        </is>
      </c>
      <c r="D45">
        <v>1.04666813491929</v>
      </c>
      <c r="E45">
        <f>MAX(0.7,1+_xlfn.NORM.INV(RAND(),0,$B$14*0.5))</f>
        <v>1</v>
      </c>
      <c r="F45">
        <f>MAX(0.85,1+_xlfn.NORM.INV(RAND(),0,$B$14*0.4))</f>
        <v>1.012768</v>
      </c>
      <c r="G45">
        <f>MAX(0.75,1+_xlfn.NORM.INV(RAND(),0,$B$14*0.35))</f>
        <v>1.006123</v>
      </c>
      <c r="H45">
        <f>IF($B45=1,1,POWER(1+$B$9,16/12))</f>
        <v>1.040199</v>
      </c>
      <c r="I45">
        <f>IF($B45=1,E45,F45*G45)</f>
        <v>1.018969</v>
      </c>
      <c r="J45">
        <f>IF($B45=1,0,$B$12+($B$13-$B$12)*(16/23))</f>
        <v>281.304347826087</v>
      </c>
      <c r="K45">
        <f>IF($B45=1,0,0.85+0.15*D45)</f>
        <v>1.00700022023789</v>
      </c>
      <c r="L45">
        <f>IF($B45=1,0,MIN($B$13,MAX($B$12,ROUND(J45*K45*F45,0))))</f>
        <v>287</v>
      </c>
      <c r="M45">
        <f>IF($B45=1,0,1+($B$10*16/12))</f>
        <v>1.04</v>
      </c>
      <c r="N45">
        <f>IF($B45=1,0,ROUND($B$8*M45*G45,2))</f>
        <v>4408.92</v>
      </c>
      <c r="O45">
        <f>ROUND(L45*N45,2)</f>
        <v>1265360.05</v>
      </c>
      <c r="P45">
        <f>$B$11</f>
        <v>0.02</v>
      </c>
      <c r="Q45">
        <f>ROUND(IF(L45&gt;0,O45*P45,0),2)</f>
        <v>25307.2</v>
      </c>
    </row>
    <row r="46">
      <c r="A46" t="inlineStr">
        <is>
          <t>2028-08-01</t>
        </is>
      </c>
      <c r="B46">
        <v>3</v>
      </c>
      <c r="C46" t="inlineStr">
        <is>
          <t>phase_3_projection</t>
        </is>
      </c>
      <c r="D46">
        <v>1.08164077629362</v>
      </c>
      <c r="E46">
        <f>MAX(0.7,1+_xlfn.NORM.INV(RAND(),0,$B$14*0.5))</f>
        <v>1</v>
      </c>
      <c r="F46">
        <f>MAX(0.85,1+_xlfn.NORM.INV(RAND(),0,$B$14*0.4))</f>
        <v>1.012999</v>
      </c>
      <c r="G46">
        <f>MAX(0.75,1+_xlfn.NORM.INV(RAND(),0,$B$14*0.35))</f>
        <v>1.008374</v>
      </c>
      <c r="H46">
        <f>IF($B46=1,1,POWER(1+$B$9,17/12))</f>
        <v>1.042764</v>
      </c>
      <c r="I46">
        <f>IF($B46=1,E46,F46*G46)</f>
        <v>1.021481</v>
      </c>
      <c r="J46">
        <f>IF($B46=1,0,$B$12+($B$13-$B$12)*(17/23))</f>
        <v>298.260869565217</v>
      </c>
      <c r="K46">
        <f>IF($B46=1,0,0.85+0.15*D46)</f>
        <v>1.01224611644404</v>
      </c>
      <c r="L46">
        <f>IF($B46=1,0,MIN($B$13,MAX($B$12,ROUND(J46*K46*F46,0))))</f>
        <v>306</v>
      </c>
      <c r="M46">
        <f>IF($B46=1,0,1+($B$10*17/12))</f>
        <v>1.0425</v>
      </c>
      <c r="N46">
        <f>IF($B46=1,0,ROUND($B$8*M46*G46,2))</f>
        <v>4429.4</v>
      </c>
      <c r="O46">
        <f>ROUND(L46*N46,2)</f>
        <v>1355397.79</v>
      </c>
      <c r="P46">
        <f>$B$11</f>
        <v>0.02</v>
      </c>
      <c r="Q46">
        <f>ROUND(IF(L46&gt;0,O46*P46,0),2)</f>
        <v>27107.96</v>
      </c>
    </row>
    <row r="47">
      <c r="A47" t="inlineStr">
        <is>
          <t>2028-09-01</t>
        </is>
      </c>
      <c r="B47">
        <v>3</v>
      </c>
      <c r="C47" t="inlineStr">
        <is>
          <t>phase_3_projection</t>
        </is>
      </c>
      <c r="D47">
        <v>1.03979563529009</v>
      </c>
      <c r="E47">
        <f>MAX(0.7,1+_xlfn.NORM.INV(RAND(),0,$B$14*0.5))</f>
        <v>1</v>
      </c>
      <c r="F47">
        <f>MAX(0.85,1+_xlfn.NORM.INV(RAND(),0,$B$14*0.4))</f>
        <v>0.98746</v>
      </c>
      <c r="G47">
        <f>MAX(0.75,1+_xlfn.NORM.INV(RAND(),0,$B$14*0.35))</f>
        <v>0.987446</v>
      </c>
      <c r="H47">
        <f>IF($B47=1,1,POWER(1+$B$9,18/12))</f>
        <v>1.045336</v>
      </c>
      <c r="I47">
        <f>IF($B47=1,E47,F47*G47)</f>
        <v>0.975064</v>
      </c>
      <c r="J47">
        <f>IF($B47=1,0,$B$12+($B$13-$B$12)*(18/23))</f>
        <v>315.217391304348</v>
      </c>
      <c r="K47">
        <f>IF($B47=1,0,0.85+0.15*D47)</f>
        <v>1.00596934529351</v>
      </c>
      <c r="L47">
        <f>IF($B47=1,0,MIN($B$13,MAX($B$12,ROUND(J47*K47*F47,0))))</f>
        <v>313</v>
      </c>
      <c r="M47">
        <f>IF($B47=1,0,1+($B$10*18/12))</f>
        <v>1.045</v>
      </c>
      <c r="N47">
        <f>IF($B47=1,0,ROUND($B$8*M47*G47,2))</f>
        <v>4347.88</v>
      </c>
      <c r="O47">
        <f>ROUND(L47*N47,2)</f>
        <v>1360886.16</v>
      </c>
      <c r="P47">
        <f>$B$11</f>
        <v>0.02</v>
      </c>
      <c r="Q47">
        <f>ROUND(IF(L47&gt;0,O47*P47,0),2)</f>
        <v>27217.72</v>
      </c>
    </row>
    <row r="48">
      <c r="A48" t="inlineStr">
        <is>
          <t>2028-10-01</t>
        </is>
      </c>
      <c r="B48">
        <v>3</v>
      </c>
      <c r="C48" t="inlineStr">
        <is>
          <t>phase_3_projection</t>
        </is>
      </c>
      <c r="D48">
        <v>1.06919417834941</v>
      </c>
      <c r="E48">
        <f>MAX(0.7,1+_xlfn.NORM.INV(RAND(),0,$B$14*0.5))</f>
        <v>1</v>
      </c>
      <c r="F48">
        <f>MAX(0.85,1+_xlfn.NORM.INV(RAND(),0,$B$14*0.4))</f>
        <v>0.990601</v>
      </c>
      <c r="G48">
        <f>MAX(0.75,1+_xlfn.NORM.INV(RAND(),0,$B$14*0.35))</f>
        <v>1.008738</v>
      </c>
      <c r="H48">
        <f>IF($B48=1,1,POWER(1+$B$9,19/12))</f>
        <v>1.047914</v>
      </c>
      <c r="I48">
        <f>IF($B48=1,E48,F48*G48)</f>
        <v>0.999257</v>
      </c>
      <c r="J48">
        <f>IF($B48=1,0,$B$12+($B$13-$B$12)*(19/23))</f>
        <v>332.173913043478</v>
      </c>
      <c r="K48">
        <f>IF($B48=1,0,0.85+0.15*D48)</f>
        <v>1.01037912675241</v>
      </c>
      <c r="L48">
        <f>IF($B48=1,0,MIN($B$13,MAX($B$12,ROUND(J48*K48*F48,0))))</f>
        <v>332</v>
      </c>
      <c r="M48">
        <f>IF($B48=1,0,1+($B$10*19/12))</f>
        <v>1.0475</v>
      </c>
      <c r="N48">
        <f>IF($B48=1,0,ROUND($B$8*M48*G48,2))</f>
        <v>4452.26</v>
      </c>
      <c r="O48">
        <f>ROUND(L48*N48,2)</f>
        <v>1478149.63</v>
      </c>
      <c r="P48">
        <f>$B$11</f>
        <v>0.02</v>
      </c>
      <c r="Q48">
        <f>ROUND(IF(L48&gt;0,O48*P48,0),2)</f>
        <v>29562.99</v>
      </c>
    </row>
    <row r="49">
      <c r="A49" t="inlineStr">
        <is>
          <t>2028-11-01</t>
        </is>
      </c>
      <c r="B49">
        <v>3</v>
      </c>
      <c r="C49" t="inlineStr">
        <is>
          <t>phase_3_projection</t>
        </is>
      </c>
      <c r="D49">
        <v>1.21332398881221</v>
      </c>
      <c r="E49">
        <f>MAX(0.7,1+_xlfn.NORM.INV(RAND(),0,$B$14*0.5))</f>
        <v>1</v>
      </c>
      <c r="F49">
        <f>MAX(0.85,1+_xlfn.NORM.INV(RAND(),0,$B$14*0.4))</f>
        <v>0.994998</v>
      </c>
      <c r="G49">
        <f>MAX(0.75,1+_xlfn.NORM.INV(RAND(),0,$B$14*0.35))</f>
        <v>1.040876</v>
      </c>
      <c r="H49">
        <f>IF($B49=1,1,POWER(1+$B$9,20/12))</f>
        <v>1.050498</v>
      </c>
      <c r="I49">
        <f>IF($B49=1,E49,F49*G49)</f>
        <v>1.035669</v>
      </c>
      <c r="J49">
        <f>IF($B49=1,0,$B$12+($B$13-$B$12)*(20/23))</f>
        <v>349.130434782609</v>
      </c>
      <c r="K49">
        <f>IF($B49=1,0,0.85+0.15*D49)</f>
        <v>1.03199859832183</v>
      </c>
      <c r="L49">
        <f>IF($B49=1,0,MIN($B$13,MAX($B$12,ROUND(J49*K49*F49,0))))</f>
        <v>358</v>
      </c>
      <c r="M49">
        <f>IF($B49=1,0,1+($B$10*20/12))</f>
        <v>1.05</v>
      </c>
      <c r="N49">
        <f>IF($B49=1,0,ROUND($B$8*M49*G49,2))</f>
        <v>4605.07</v>
      </c>
      <c r="O49">
        <f>ROUND(L49*N49,2)</f>
        <v>1648614.08</v>
      </c>
      <c r="P49">
        <f>$B$11</f>
        <v>0.02</v>
      </c>
      <c r="Q49">
        <f>ROUND(IF(L49&gt;0,O49*P49,0),2)</f>
        <v>32972.28</v>
      </c>
    </row>
    <row r="50">
      <c r="A50" t="inlineStr">
        <is>
          <t>2028-12-01</t>
        </is>
      </c>
      <c r="B50">
        <v>3</v>
      </c>
      <c r="C50" t="inlineStr">
        <is>
          <t>phase_3_projection</t>
        </is>
      </c>
      <c r="D50">
        <v>2.27627423629054</v>
      </c>
      <c r="E50">
        <f>MAX(0.7,1+_xlfn.NORM.INV(RAND(),0,$B$14*0.5))</f>
        <v>1</v>
      </c>
      <c r="F50">
        <f>MAX(0.85,1+_xlfn.NORM.INV(RAND(),0,$B$14*0.4))</f>
        <v>0.983614</v>
      </c>
      <c r="G50">
        <f>MAX(0.75,1+_xlfn.NORM.INV(RAND(),0,$B$14*0.35))</f>
        <v>0.98077</v>
      </c>
      <c r="H50">
        <f>IF($B50=1,1,POWER(1+$B$9,21/12))</f>
        <v>1.053089</v>
      </c>
      <c r="I50">
        <f>IF($B50=1,E50,F50*G50)</f>
        <v>0.964699</v>
      </c>
      <c r="J50">
        <f>IF($B50=1,0,$B$12+($B$13-$B$12)*(21/23))</f>
        <v>366.086956521739</v>
      </c>
      <c r="K50">
        <f>IF($B50=1,0,0.85+0.15*D50)</f>
        <v>1.19144113544358</v>
      </c>
      <c r="L50">
        <f>IF($B50=1,0,MIN($B$13,MAX($B$12,ROUND(J50*K50*F50,0))))</f>
        <v>400</v>
      </c>
      <c r="M50">
        <f>IF($B50=1,0,1+($B$10*21/12))</f>
        <v>1.0525</v>
      </c>
      <c r="N50">
        <f>IF($B50=1,0,ROUND($B$8*M50*G50,2))</f>
        <v>4349.48</v>
      </c>
      <c r="O50">
        <f>ROUND(L50*N50,2)</f>
        <v>1739790.46</v>
      </c>
      <c r="P50">
        <f>$B$11</f>
        <v>0.02</v>
      </c>
      <c r="Q50">
        <f>ROUND(IF(L50&gt;0,O50*P50,0),2)</f>
        <v>34795.81</v>
      </c>
    </row>
    <row r="51">
      <c r="A51" t="inlineStr">
        <is>
          <t>2029-01-01</t>
        </is>
      </c>
      <c r="B51">
        <v>3</v>
      </c>
      <c r="C51" t="inlineStr">
        <is>
          <t>phase_3_projection</t>
        </is>
      </c>
      <c r="D51">
        <v>0.945877106974002</v>
      </c>
      <c r="E51">
        <f>MAX(0.7,1+_xlfn.NORM.INV(RAND(),0,$B$14*0.5))</f>
        <v>1</v>
      </c>
      <c r="F51">
        <f>MAX(0.85,1+_xlfn.NORM.INV(RAND(),0,$B$14*0.4))</f>
        <v>1.015369</v>
      </c>
      <c r="G51">
        <f>MAX(0.75,1+_xlfn.NORM.INV(RAND(),0,$B$14*0.35))</f>
        <v>1.024882</v>
      </c>
      <c r="H51">
        <f>IF($B51=1,1,POWER(1+$B$9,22/12))</f>
        <v>1.055686</v>
      </c>
      <c r="I51">
        <f>IF($B51=1,E51,F51*G51)</f>
        <v>1.040634</v>
      </c>
      <c r="J51">
        <f>IF($B51=1,0,$B$12+($B$13-$B$12)*(22/23))</f>
        <v>383.04347826087</v>
      </c>
      <c r="K51">
        <f>IF($B51=1,0,0.85+0.15*D51)</f>
        <v>0.9918815660461</v>
      </c>
      <c r="L51">
        <f>IF($B51=1,0,MIN($B$13,MAX($B$12,ROUND(J51*K51*F51,0))))</f>
        <v>386</v>
      </c>
      <c r="M51">
        <f>IF($B51=1,0,1+($B$10*22/12))</f>
        <v>1.055</v>
      </c>
      <c r="N51">
        <f>IF($B51=1,0,ROUND($B$8*M51*G51,2))</f>
        <v>4555.9</v>
      </c>
      <c r="O51">
        <f>ROUND(L51*N51,2)</f>
        <v>1758577.85</v>
      </c>
      <c r="P51">
        <f>$B$11</f>
        <v>0.02</v>
      </c>
      <c r="Q51">
        <f>ROUND(IF(L51&gt;0,O51*P51,0),2)</f>
        <v>35171.56</v>
      </c>
    </row>
    <row r="52">
      <c r="A52" t="inlineStr">
        <is>
          <t>2029-02-01</t>
        </is>
      </c>
      <c r="B52">
        <v>3</v>
      </c>
      <c r="C52" t="inlineStr">
        <is>
          <t>phase_3_projection</t>
        </is>
      </c>
      <c r="D52">
        <v>1.16796704745391</v>
      </c>
      <c r="E52">
        <f>MAX(0.7,1+_xlfn.NORM.INV(RAND(),0,$B$14*0.5))</f>
        <v>1</v>
      </c>
      <c r="F52">
        <f>MAX(0.85,1+_xlfn.NORM.INV(RAND(),0,$B$14*0.4))</f>
        <v>1.010114</v>
      </c>
      <c r="G52">
        <f>MAX(0.75,1+_xlfn.NORM.INV(RAND(),0,$B$14*0.35))</f>
        <v>1.014627</v>
      </c>
      <c r="H52">
        <f>IF($B52=1,1,POWER(1+$B$9,23/12))</f>
        <v>1.05829</v>
      </c>
      <c r="I52">
        <f>IF($B52=1,E52,F52*G52)</f>
        <v>1.024889</v>
      </c>
      <c r="J52">
        <f>IF($B52=1,0,$B$12+($B$13-$B$12)*(23/23))</f>
        <v>400</v>
      </c>
      <c r="K52">
        <f>IF($B52=1,0,0.85+0.15*D52)</f>
        <v>1.02519505711809</v>
      </c>
      <c r="L52">
        <f>IF($B52=1,0,MIN($B$13,MAX($B$12,ROUND(J52*K52*F52,0))))</f>
        <v>400</v>
      </c>
      <c r="M52">
        <f>IF($B52=1,0,1+($B$10*23/12))</f>
        <v>1.0575</v>
      </c>
      <c r="N52">
        <f>IF($B52=1,0,ROUND($B$8*M52*G52,2))</f>
        <v>4521</v>
      </c>
      <c r="O52">
        <f>ROUND(L52*N52,2)</f>
        <v>1808400.05</v>
      </c>
      <c r="P52">
        <f>$B$11</f>
        <v>0.02</v>
      </c>
      <c r="Q52">
        <f>ROUND(IF(L52&gt;0,O52*P52,0),2)</f>
        <v>36168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54"/>
  <sheetViews>
    <sheetView workbookViewId="0"/>
  </sheetViews>
  <sheetFormatPr defaultRowHeight="15"/>
  <sheetData>
    <row r="1">
      <c r="A1" t="inlineStr">
        <is>
          <t>[MAU Assumptions]</t>
        </is>
      </c>
      <c r="B1" t="inlineStr">
        <is>
          <t/>
        </is>
      </c>
      <c r="C1" t="inlineStr">
        <is>
          <t>Inputs used by the MAU rollup and cohort acquisition/retention model below.</t>
        </is>
      </c>
    </row>
    <row r="2">
      <c r="A2" t="inlineStr">
        <is>
          <t>name</t>
        </is>
      </c>
      <c r="B2" t="inlineStr">
        <is>
          <t>value</t>
        </is>
      </c>
      <c r="C2" t="inlineStr">
        <is>
          <t>details</t>
        </is>
      </c>
    </row>
    <row r="3">
      <c r="A3" t="inlineStr">
        <is>
          <t>projection_months</t>
        </is>
      </c>
      <c r="B3">
        <v>36</v>
      </c>
      <c r="C3" t="inlineStr">
        <is>
          <t>Number of projected monthly rows in the workbook model.</t>
        </is>
      </c>
    </row>
    <row r="4">
      <c r="A4" t="inlineStr">
        <is>
          <t>projection_start_month</t>
        </is>
      </c>
      <c r="B4" t="inlineStr">
        <is>
          <t>2026-03</t>
        </is>
      </c>
      <c r="C4" t="inlineStr">
        <is>
          <t>First month of the synthetic projection in YYYY-MM format.</t>
        </is>
      </c>
    </row>
    <row r="5">
      <c r="A5" t="inlineStr">
        <is>
          <t>new_users_start</t>
        </is>
      </c>
      <c r="B5">
        <v>700</v>
      </c>
      <c r="C5" t="inlineStr">
        <is>
          <t>New users acquired in the first projected cohort month.</t>
        </is>
      </c>
    </row>
    <row r="6">
      <c r="A6" t="inlineStr">
        <is>
          <t>new_users_monthly_growth_year1</t>
        </is>
      </c>
      <c r="B6">
        <v>0.1</v>
      </c>
      <c r="C6" t="inlineStr">
        <is>
          <t>Monthly new-user growth rate applied in Year 1.</t>
        </is>
      </c>
    </row>
    <row r="7">
      <c r="A7" t="inlineStr">
        <is>
          <t>new_users_monthly_growth_year2</t>
        </is>
      </c>
      <c r="B7">
        <v>0.05</v>
      </c>
      <c r="C7" t="inlineStr">
        <is>
          <t>Monthly new-user growth rate applied in Year 2.</t>
        </is>
      </c>
    </row>
    <row r="8">
      <c r="A8" t="inlineStr">
        <is>
          <t>new_users_monthly_growth_year3</t>
        </is>
      </c>
      <c r="B8">
        <v>0.03</v>
      </c>
      <c r="C8" t="inlineStr">
        <is>
          <t>Monthly new-user growth rate applied in Year 3.</t>
        </is>
      </c>
    </row>
    <row r="9">
      <c r="A9" t="inlineStr">
        <is>
          <t>new_user_holiday_spike_multiplier</t>
        </is>
      </c>
      <c r="B9">
        <v>1.3</v>
      </c>
      <c r="C9" t="inlineStr">
        <is>
          <t>Extra acquisition multiplier applied in November and December.</t>
        </is>
      </c>
    </row>
    <row r="10">
      <c r="A10" t="inlineStr">
        <is>
          <t>base_new_users_rule</t>
        </is>
      </c>
      <c r="B10" t="inlineStr">
        <is>
          <t>Month 0 = start; later months = prior month * (1 + current growth rate)</t>
        </is>
      </c>
      <c r="C10" t="inlineStr">
        <is>
          <t>Human-readable formula for the base_new_users column before seasonality, holiday spike, and noise are applied.</t>
        </is>
      </c>
    </row>
    <row r="11">
      <c r="A11" t="inlineStr">
        <is>
          <t>user_retention_month_1</t>
        </is>
      </c>
      <c r="B11">
        <v>0.25</v>
      </c>
      <c r="C11" t="inlineStr">
        <is>
          <t>Share of a cohort still active one month after signup.</t>
        </is>
      </c>
    </row>
    <row r="12">
      <c r="A12" t="inlineStr">
        <is>
          <t>user_retention_month_2</t>
        </is>
      </c>
      <c r="B12">
        <v>0.12</v>
      </c>
      <c r="C12" t="inlineStr">
        <is>
          <t>Share of a cohort still active two months after signup.</t>
        </is>
      </c>
    </row>
    <row r="13">
      <c r="A13" t="inlineStr">
        <is>
          <t>user_retention_month_3</t>
        </is>
      </c>
      <c r="B13">
        <v>0.05</v>
      </c>
      <c r="C13" t="inlineStr">
        <is>
          <t>Share of a cohort still active three months after signup.</t>
        </is>
      </c>
    </row>
    <row r="14">
      <c r="A14" t="inlineStr">
        <is>
          <t>user_retention_decay</t>
        </is>
      </c>
      <c r="B14">
        <v>0.97</v>
      </c>
      <c r="C14" t="inlineStr">
        <is>
          <t>Monthly decay applied to cohort retention after Month 3.</t>
        </is>
      </c>
    </row>
    <row r="15">
      <c r="A15" t="inlineStr">
        <is>
          <t>jitter_std</t>
        </is>
      </c>
      <c r="B15">
        <v>0.05</v>
      </c>
      <c r="C15" t="inlineStr">
        <is>
          <t>Standard deviation used by cohort acquisition noise.</t>
        </is>
      </c>
    </row>
    <row r="16">
      <c r="A16" t="inlineStr">
        <is>
          <t>dependency</t>
        </is>
      </c>
      <c r="B16" t="inlineStr">
        <is>
          <t>MAU cohort matrix on this sheet</t>
        </is>
      </c>
      <c r="C16" t="inlineStr">
        <is>
          <t>MAU is derived by summing active cohort contributions from the cohort matrix on this sheet.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</row>
    <row r="18">
      <c r="A18" t="inlineStr">
        <is>
          <t>month</t>
        </is>
      </c>
      <c r="B18" t="inlineStr">
        <is>
          <t>year_index</t>
        </is>
      </c>
      <c r="C18" t="inlineStr">
        <is>
          <t>phase</t>
        </is>
      </c>
      <c r="D18" t="inlineStr">
        <is>
          <t>new_users</t>
        </is>
      </c>
      <c r="E18" t="inlineStr">
        <is>
          <t>returning_users</t>
        </is>
      </c>
      <c r="F18" t="inlineStr">
        <is>
          <t>mau</t>
        </is>
      </c>
      <c r="G18" t="inlineStr">
        <is>
          <t/>
        </is>
      </c>
      <c r="H18" t="inlineStr">
        <is>
          <t>acquisition_growth_rate</t>
        </is>
      </c>
      <c r="I18" t="inlineStr">
        <is>
          <t>base_new_users</t>
        </is>
      </c>
      <c r="J18" t="inlineStr">
        <is>
          <t>seasonality_factor</t>
        </is>
      </c>
      <c r="K18" t="inlineStr">
        <is>
          <t>noise_acquisition</t>
        </is>
      </c>
      <c r="L18" t="inlineStr">
        <is>
          <t/>
        </is>
      </c>
      <c r="M18" t="inlineStr">
        <is>
          <t>user_retention_age</t>
        </is>
      </c>
      <c r="N18" t="inlineStr">
        <is>
          <t>user_retained_share</t>
        </is>
      </c>
      <c r="O18" t="inlineStr">
        <is>
          <t>2026-03-01</t>
        </is>
      </c>
      <c r="P18" t="inlineStr">
        <is>
          <t>2026-04-01</t>
        </is>
      </c>
      <c r="Q18" t="inlineStr">
        <is>
          <t>2026-05-01</t>
        </is>
      </c>
      <c r="R18" t="inlineStr">
        <is>
          <t>2026-06-01</t>
        </is>
      </c>
      <c r="S18" t="inlineStr">
        <is>
          <t>2026-07-01</t>
        </is>
      </c>
      <c r="T18" t="inlineStr">
        <is>
          <t>2026-08-01</t>
        </is>
      </c>
      <c r="U18" t="inlineStr">
        <is>
          <t>2026-09-01</t>
        </is>
      </c>
      <c r="V18" t="inlineStr">
        <is>
          <t>2026-10-01</t>
        </is>
      </c>
      <c r="W18" t="inlineStr">
        <is>
          <t>2026-11-01</t>
        </is>
      </c>
      <c r="X18" t="inlineStr">
        <is>
          <t>2026-12-01</t>
        </is>
      </c>
      <c r="Y18" t="inlineStr">
        <is>
          <t>2027-01-01</t>
        </is>
      </c>
      <c r="Z18" t="inlineStr">
        <is>
          <t>2027-02-01</t>
        </is>
      </c>
      <c r="AA18" t="inlineStr">
        <is>
          <t>2027-03-01</t>
        </is>
      </c>
      <c r="AB18" t="inlineStr">
        <is>
          <t>2027-04-01</t>
        </is>
      </c>
      <c r="AC18" t="inlineStr">
        <is>
          <t>2027-05-01</t>
        </is>
      </c>
      <c r="AD18" t="inlineStr">
        <is>
          <t>2027-06-01</t>
        </is>
      </c>
      <c r="AE18" t="inlineStr">
        <is>
          <t>2027-07-01</t>
        </is>
      </c>
      <c r="AF18" t="inlineStr">
        <is>
          <t>2027-08-01</t>
        </is>
      </c>
      <c r="AG18" t="inlineStr">
        <is>
          <t>2027-09-01</t>
        </is>
      </c>
      <c r="AH18" t="inlineStr">
        <is>
          <t>2027-10-01</t>
        </is>
      </c>
      <c r="AI18" t="inlineStr">
        <is>
          <t>2027-11-01</t>
        </is>
      </c>
      <c r="AJ18" t="inlineStr">
        <is>
          <t>2027-12-01</t>
        </is>
      </c>
      <c r="AK18" t="inlineStr">
        <is>
          <t>2028-01-01</t>
        </is>
      </c>
      <c r="AL18" t="inlineStr">
        <is>
          <t>2028-02-01</t>
        </is>
      </c>
      <c r="AM18" t="inlineStr">
        <is>
          <t>2028-03-01</t>
        </is>
      </c>
      <c r="AN18" t="inlineStr">
        <is>
          <t>2028-04-01</t>
        </is>
      </c>
      <c r="AO18" t="inlineStr">
        <is>
          <t>2028-05-01</t>
        </is>
      </c>
      <c r="AP18" t="inlineStr">
        <is>
          <t>2028-06-01</t>
        </is>
      </c>
      <c r="AQ18" t="inlineStr">
        <is>
          <t>2028-07-01</t>
        </is>
      </c>
      <c r="AR18" t="inlineStr">
        <is>
          <t>2028-08-01</t>
        </is>
      </c>
      <c r="AS18" t="inlineStr">
        <is>
          <t>2028-09-01</t>
        </is>
      </c>
      <c r="AT18" t="inlineStr">
        <is>
          <t>2028-10-01</t>
        </is>
      </c>
      <c r="AU18" t="inlineStr">
        <is>
          <t>2028-11-01</t>
        </is>
      </c>
      <c r="AV18" t="inlineStr">
        <is>
          <t>2028-12-01</t>
        </is>
      </c>
      <c r="AW18" t="inlineStr">
        <is>
          <t>2029-01-01</t>
        </is>
      </c>
      <c r="AX18" t="inlineStr">
        <is>
          <t>2029-02-01</t>
        </is>
      </c>
    </row>
    <row r="19">
      <c r="A19" t="inlineStr">
        <is>
          <t>2026-03-01</t>
        </is>
      </c>
      <c r="B19">
        <v>1</v>
      </c>
      <c r="C19" t="inlineStr">
        <is>
          <t>phase_1_user_growth</t>
        </is>
      </c>
      <c r="D19">
        <f>ROUND(MAX(100,I19*J19*K19),0)</f>
        <v>613</v>
      </c>
      <c r="E19">
        <f>MAX(0,F19-D19)</f>
        <v>0</v>
      </c>
      <c r="F19">
        <f>ROUND(SUM($O$19:$O$54),0)</f>
        <v>613</v>
      </c>
      <c r="G19" t="inlineStr">
        <is>
          <t/>
        </is>
      </c>
      <c r="H19">
        <f>IF($B19=1,$B$6,IF($B19=2,$B$7,$B$8))</f>
        <v>0.1</v>
      </c>
      <c r="I19">
        <f>$B$5</f>
        <v>700</v>
      </c>
      <c r="J19">
        <v>0.852079</v>
      </c>
      <c r="K19">
        <f>MAX(0.85,1+_xlfn.NORM.INV(RAND(),0,$B$15*0.35))</f>
        <v>1.028427</v>
      </c>
      <c r="L19" t="inlineStr">
        <is>
          <t/>
        </is>
      </c>
      <c r="M19">
        <v>0</v>
      </c>
      <c r="N19">
        <f>IF($M19=0,1,IF($M19=1,$B$11,IF($M19=2,$B$12,IF($M19=3,$B$13,$B$13*POWER($B$14,$M19-3))))</f>
        <v>1</v>
      </c>
      <c r="O19">
        <f>ROUND(D19*INDEX($N$19:$N$54,1),0)</f>
        <v>613</v>
      </c>
      <c r="P19">
        <f>ROUND(D19*INDEX($N$19:$N$54,2),0)</f>
        <v>153</v>
      </c>
      <c r="Q19">
        <f>ROUND(D19*INDEX($N$19:$N$54,3),0)</f>
        <v>74</v>
      </c>
      <c r="R19">
        <f>ROUND(D19*INDEX($N$19:$N$54,4),0)</f>
        <v>31</v>
      </c>
      <c r="S19">
        <f>ROUND(D19*INDEX($N$19:$N$54,5),0)</f>
        <v>30</v>
      </c>
      <c r="T19">
        <f>ROUND(D19*INDEX($N$19:$N$54,6),0)</f>
        <v>29</v>
      </c>
      <c r="U19">
        <f>ROUND(D19*INDEX($N$19:$N$54,7),0)</f>
        <v>28</v>
      </c>
      <c r="V19">
        <f>ROUND(D19*INDEX($N$19:$N$54,8),0)</f>
        <v>27</v>
      </c>
      <c r="W19">
        <f>ROUND(D19*INDEX($N$19:$N$54,9),0)</f>
        <v>26</v>
      </c>
      <c r="X19">
        <f>ROUND(D19*INDEX($N$19:$N$54,10),0)</f>
        <v>26</v>
      </c>
      <c r="Y19">
        <f>ROUND(D19*INDEX($N$19:$N$54,11),0)</f>
        <v>25</v>
      </c>
      <c r="Z19">
        <f>ROUND(D19*INDEX($N$19:$N$54,12),0)</f>
        <v>24</v>
      </c>
      <c r="AA19">
        <f>ROUND(D19*INDEX($N$19:$N$54,13),0)</f>
        <v>23</v>
      </c>
      <c r="AB19">
        <f>ROUND(D19*INDEX($N$19:$N$54,14),0)</f>
        <v>23</v>
      </c>
      <c r="AC19">
        <f>ROUND(D19*INDEX($N$19:$N$54,15),0)</f>
        <v>22</v>
      </c>
      <c r="AD19">
        <f>ROUND(D19*INDEX($N$19:$N$54,16),0)</f>
        <v>21</v>
      </c>
      <c r="AE19">
        <f>ROUND(D19*INDEX($N$19:$N$54,17),0)</f>
        <v>21</v>
      </c>
      <c r="AF19">
        <f>ROUND(D19*INDEX($N$19:$N$54,18),0)</f>
        <v>20</v>
      </c>
      <c r="AG19">
        <f>ROUND(D19*INDEX($N$19:$N$54,19),0)</f>
        <v>19</v>
      </c>
      <c r="AH19">
        <f>ROUND(D19*INDEX($N$19:$N$54,20),0)</f>
        <v>19</v>
      </c>
      <c r="AI19">
        <f>ROUND(D19*INDEX($N$19:$N$54,21),0)</f>
        <v>18</v>
      </c>
      <c r="AJ19">
        <f>ROUND(D19*INDEX($N$19:$N$54,22),0)</f>
        <v>18</v>
      </c>
      <c r="AK19">
        <f>ROUND(D19*INDEX($N$19:$N$54,23),0)</f>
        <v>17</v>
      </c>
      <c r="AL19">
        <f>ROUND(D19*INDEX($N$19:$N$54,24),0)</f>
        <v>17</v>
      </c>
      <c r="AM19">
        <f>ROUND(D19*INDEX($N$19:$N$54,25),0)</f>
        <v>16</v>
      </c>
      <c r="AN19">
        <f>ROUND(D19*INDEX($N$19:$N$54,26),0)</f>
        <v>16</v>
      </c>
      <c r="AO19">
        <f>ROUND(D19*INDEX($N$19:$N$54,27),0)</f>
        <v>15</v>
      </c>
      <c r="AP19">
        <f>ROUND(D19*INDEX($N$19:$N$54,28),0)</f>
        <v>15</v>
      </c>
      <c r="AQ19">
        <f>ROUND(D19*INDEX($N$19:$N$54,29),0)</f>
        <v>14</v>
      </c>
      <c r="AR19">
        <f>ROUND(D19*INDEX($N$19:$N$54,30),0)</f>
        <v>14</v>
      </c>
      <c r="AS19">
        <f>ROUND(D19*INDEX($N$19:$N$54,31),0)</f>
        <v>13</v>
      </c>
      <c r="AT19">
        <f>ROUND(D19*INDEX($N$19:$N$54,32),0)</f>
        <v>13</v>
      </c>
      <c r="AU19">
        <f>ROUND(D19*INDEX($N$19:$N$54,33),0)</f>
        <v>13</v>
      </c>
      <c r="AV19">
        <f>ROUND(D19*INDEX($N$19:$N$54,34),0)</f>
        <v>12</v>
      </c>
      <c r="AW19">
        <f>ROUND(D19*INDEX($N$19:$N$54,35),0)</f>
        <v>12</v>
      </c>
      <c r="AX19">
        <f>ROUND(D19*INDEX($N$19:$N$54,36),0)</f>
        <v>12</v>
      </c>
    </row>
    <row r="20">
      <c r="A20" t="inlineStr">
        <is>
          <t>2026-04-01</t>
        </is>
      </c>
      <c r="B20">
        <v>1</v>
      </c>
      <c r="C20" t="inlineStr">
        <is>
          <t>phase_1_user_growth</t>
        </is>
      </c>
      <c r="D20">
        <f>ROUND(MAX(100,I20*J20*K20),0)</f>
        <v>637</v>
      </c>
      <c r="E20">
        <f>MAX(0,F20-D20)</f>
        <v>153</v>
      </c>
      <c r="F20">
        <f>ROUND(SUM($P$19:$P$54),0)</f>
        <v>790</v>
      </c>
      <c r="G20" t="inlineStr">
        <is>
          <t/>
        </is>
      </c>
      <c r="H20">
        <f>IF($B20=1,$B$6,IF($B20=2,$B$7,$B$8))</f>
        <v>0.1</v>
      </c>
      <c r="I20">
        <f>I19*(1+H20)</f>
        <v>770</v>
      </c>
      <c r="J20">
        <v>0.843513</v>
      </c>
      <c r="K20">
        <f>MAX(0.85,1+_xlfn.NORM.INV(RAND(),0,$B$15*0.35))</f>
        <v>0.981037</v>
      </c>
      <c r="L20" t="inlineStr">
        <is>
          <t/>
        </is>
      </c>
      <c r="M20">
        <v>1</v>
      </c>
      <c r="N20">
        <f>IF($M20=0,1,IF($M20=1,$B$11,IF($M20=2,$B$12,IF($M20=3,$B$13,$B$13*POWER($B$14,$M20-3))))</f>
        <v>0.25</v>
      </c>
      <c r="O20" t="inlineStr">
        <is>
          <t/>
        </is>
      </c>
      <c r="P20">
        <f>ROUND(D20*INDEX($N$19:$N$54,1),0)</f>
        <v>637</v>
      </c>
      <c r="Q20">
        <f>ROUND(D20*INDEX($N$19:$N$54,2),0)</f>
        <v>159</v>
      </c>
      <c r="R20">
        <f>ROUND(D20*INDEX($N$19:$N$54,3),0)</f>
        <v>76</v>
      </c>
      <c r="S20">
        <f>ROUND(D20*INDEX($N$19:$N$54,4),0)</f>
        <v>32</v>
      </c>
      <c r="T20">
        <f>ROUND(D20*INDEX($N$19:$N$54,5),0)</f>
        <v>31</v>
      </c>
      <c r="U20">
        <f>ROUND(D20*INDEX($N$19:$N$54,6),0)</f>
        <v>30</v>
      </c>
      <c r="V20">
        <f>ROUND(D20*INDEX($N$19:$N$54,7),0)</f>
        <v>29</v>
      </c>
      <c r="W20">
        <f>ROUND(D20*INDEX($N$19:$N$54,8),0)</f>
        <v>28</v>
      </c>
      <c r="X20">
        <f>ROUND(D20*INDEX($N$19:$N$54,9),0)</f>
        <v>27</v>
      </c>
      <c r="Y20">
        <f>ROUND(D20*INDEX($N$19:$N$54,10),0)</f>
        <v>27</v>
      </c>
      <c r="Z20">
        <f>ROUND(D20*INDEX($N$19:$N$54,11),0)</f>
        <v>26</v>
      </c>
      <c r="AA20">
        <f>ROUND(D20*INDEX($N$19:$N$54,12),0)</f>
        <v>25</v>
      </c>
      <c r="AB20">
        <f>ROUND(D20*INDEX($N$19:$N$54,13),0)</f>
        <v>24</v>
      </c>
      <c r="AC20">
        <f>ROUND(D20*INDEX($N$19:$N$54,14),0)</f>
        <v>23</v>
      </c>
      <c r="AD20">
        <f>ROUND(D20*INDEX($N$19:$N$54,15),0)</f>
        <v>23</v>
      </c>
      <c r="AE20">
        <f>ROUND(D20*INDEX($N$19:$N$54,16),0)</f>
        <v>22</v>
      </c>
      <c r="AF20">
        <f>ROUND(D20*INDEX($N$19:$N$54,17),0)</f>
        <v>21</v>
      </c>
      <c r="AG20">
        <f>ROUND(D20*INDEX($N$19:$N$54,18),0)</f>
        <v>21</v>
      </c>
      <c r="AH20">
        <f>ROUND(D20*INDEX($N$19:$N$54,19),0)</f>
        <v>20</v>
      </c>
      <c r="AI20">
        <f>ROUND(D20*INDEX($N$19:$N$54,20),0)</f>
        <v>20</v>
      </c>
      <c r="AJ20">
        <f>ROUND(D20*INDEX($N$19:$N$54,21),0)</f>
        <v>19</v>
      </c>
      <c r="AK20">
        <f>ROUND(D20*INDEX($N$19:$N$54,22),0)</f>
        <v>18</v>
      </c>
      <c r="AL20">
        <f>ROUND(D20*INDEX($N$19:$N$54,23),0)</f>
        <v>18</v>
      </c>
      <c r="AM20">
        <f>ROUND(D20*INDEX($N$19:$N$54,24),0)</f>
        <v>17</v>
      </c>
      <c r="AN20">
        <f>ROUND(D20*INDEX($N$19:$N$54,25),0)</f>
        <v>17</v>
      </c>
      <c r="AO20">
        <f>ROUND(D20*INDEX($N$19:$N$54,26),0)</f>
        <v>16</v>
      </c>
      <c r="AP20">
        <f>ROUND(D20*INDEX($N$19:$N$54,27),0)</f>
        <v>16</v>
      </c>
      <c r="AQ20">
        <f>ROUND(D20*INDEX($N$19:$N$54,28),0)</f>
        <v>15</v>
      </c>
      <c r="AR20">
        <f>ROUND(D20*INDEX($N$19:$N$54,29),0)</f>
        <v>15</v>
      </c>
      <c r="AS20">
        <f>ROUND(D20*INDEX($N$19:$N$54,30),0)</f>
        <v>14</v>
      </c>
      <c r="AT20">
        <f>ROUND(D20*INDEX($N$19:$N$54,31),0)</f>
        <v>14</v>
      </c>
      <c r="AU20">
        <f>ROUND(D20*INDEX($N$19:$N$54,32),0)</f>
        <v>14</v>
      </c>
      <c r="AV20">
        <f>ROUND(D20*INDEX($N$19:$N$54,33),0)</f>
        <v>13</v>
      </c>
      <c r="AW20">
        <f>ROUND(D20*INDEX($N$19:$N$54,34),0)</f>
        <v>13</v>
      </c>
      <c r="AX20">
        <f>ROUND(D20*INDEX($N$19:$N$54,35),0)</f>
        <v>12</v>
      </c>
    </row>
    <row r="21">
      <c r="A21" t="inlineStr">
        <is>
          <t>2026-05-01</t>
        </is>
      </c>
      <c r="B21">
        <v>1</v>
      </c>
      <c r="C21" t="inlineStr">
        <is>
          <t>phase_1_user_growth</t>
        </is>
      </c>
      <c r="D21">
        <f>ROUND(MAX(100,I21*J21*K21),0)</f>
        <v>868</v>
      </c>
      <c r="E21">
        <f>MAX(0,F21-D21)</f>
        <v>233</v>
      </c>
      <c r="F21">
        <f>ROUND(SUM($Q$19:$Q$54),0)</f>
        <v>1101</v>
      </c>
      <c r="G21" t="inlineStr">
        <is>
          <t/>
        </is>
      </c>
      <c r="H21">
        <f>IF($B21=1,$B$6,IF($B21=2,$B$7,$B$8))</f>
        <v>0.1</v>
      </c>
      <c r="I21">
        <f>I20*(1+H21)</f>
        <v>847</v>
      </c>
      <c r="J21">
        <v>1.01307</v>
      </c>
      <c r="K21">
        <f>MAX(0.85,1+_xlfn.NORM.INV(RAND(),0,$B$15*0.35))</f>
        <v>1.012013</v>
      </c>
      <c r="L21" t="inlineStr">
        <is>
          <t/>
        </is>
      </c>
      <c r="M21">
        <v>2</v>
      </c>
      <c r="N21">
        <f>IF($M21=0,1,IF($M21=1,$B$11,IF($M21=2,$B$12,IF($M21=3,$B$13,$B$13*POWER($B$14,$M21-3))))</f>
        <v>0.12</v>
      </c>
      <c r="O21" t="inlineStr">
        <is>
          <t/>
        </is>
      </c>
      <c r="P21" t="inlineStr">
        <is>
          <t/>
        </is>
      </c>
      <c r="Q21">
        <f>ROUND(D21*INDEX($N$19:$N$54,1),0)</f>
        <v>868</v>
      </c>
      <c r="R21">
        <f>ROUND(D21*INDEX($N$19:$N$54,2),0)</f>
        <v>217</v>
      </c>
      <c r="S21">
        <f>ROUND(D21*INDEX($N$19:$N$54,3),0)</f>
        <v>104</v>
      </c>
      <c r="T21">
        <f>ROUND(D21*INDEX($N$19:$N$54,4),0)</f>
        <v>43</v>
      </c>
      <c r="U21">
        <f>ROUND(D21*INDEX($N$19:$N$54,5),0)</f>
        <v>42</v>
      </c>
      <c r="V21">
        <f>ROUND(D21*INDEX($N$19:$N$54,6),0)</f>
        <v>41</v>
      </c>
      <c r="W21">
        <f>ROUND(D21*INDEX($N$19:$N$54,7),0)</f>
        <v>40</v>
      </c>
      <c r="X21">
        <f>ROUND(D21*INDEX($N$19:$N$54,8),0)</f>
        <v>38</v>
      </c>
      <c r="Y21">
        <f>ROUND(D21*INDEX($N$19:$N$54,9),0)</f>
        <v>37</v>
      </c>
      <c r="Z21">
        <f>ROUND(D21*INDEX($N$19:$N$54,10),0)</f>
        <v>36</v>
      </c>
      <c r="AA21">
        <f>ROUND(D21*INDEX($N$19:$N$54,11),0)</f>
        <v>35</v>
      </c>
      <c r="AB21">
        <f>ROUND(D21*INDEX($N$19:$N$54,12),0)</f>
        <v>34</v>
      </c>
      <c r="AC21">
        <f>ROUND(D21*INDEX($N$19:$N$54,13),0)</f>
        <v>33</v>
      </c>
      <c r="AD21">
        <f>ROUND(D21*INDEX($N$19:$N$54,14),0)</f>
        <v>32</v>
      </c>
      <c r="AE21">
        <f>ROUND(D21*INDEX($N$19:$N$54,15),0)</f>
        <v>31</v>
      </c>
      <c r="AF21">
        <f>ROUND(D21*INDEX($N$19:$N$54,16),0)</f>
        <v>30</v>
      </c>
      <c r="AG21">
        <f>ROUND(D21*INDEX($N$19:$N$54,17),0)</f>
        <v>29</v>
      </c>
      <c r="AH21">
        <f>ROUND(D21*INDEX($N$19:$N$54,18),0)</f>
        <v>28</v>
      </c>
      <c r="AI21">
        <f>ROUND(D21*INDEX($N$19:$N$54,19),0)</f>
        <v>27</v>
      </c>
      <c r="AJ21">
        <f>ROUND(D21*INDEX($N$19:$N$54,20),0)</f>
        <v>27</v>
      </c>
      <c r="AK21">
        <f>ROUND(D21*INDEX($N$19:$N$54,21),0)</f>
        <v>26</v>
      </c>
      <c r="AL21">
        <f>ROUND(D21*INDEX($N$19:$N$54,22),0)</f>
        <v>25</v>
      </c>
      <c r="AM21">
        <f>ROUND(D21*INDEX($N$19:$N$54,23),0)</f>
        <v>24</v>
      </c>
      <c r="AN21">
        <f>ROUND(D21*INDEX($N$19:$N$54,24),0)</f>
        <v>24</v>
      </c>
      <c r="AO21">
        <f>ROUND(D21*INDEX($N$19:$N$54,25),0)</f>
        <v>23</v>
      </c>
      <c r="AP21">
        <f>ROUND(D21*INDEX($N$19:$N$54,26),0)</f>
        <v>22</v>
      </c>
      <c r="AQ21">
        <f>ROUND(D21*INDEX($N$19:$N$54,27),0)</f>
        <v>22</v>
      </c>
      <c r="AR21">
        <f>ROUND(D21*INDEX($N$19:$N$54,28),0)</f>
        <v>21</v>
      </c>
      <c r="AS21">
        <f>ROUND(D21*INDEX($N$19:$N$54,29),0)</f>
        <v>20</v>
      </c>
      <c r="AT21">
        <f>ROUND(D21*INDEX($N$19:$N$54,30),0)</f>
        <v>20</v>
      </c>
      <c r="AU21">
        <f>ROUND(D21*INDEX($N$19:$N$54,31),0)</f>
        <v>19</v>
      </c>
      <c r="AV21">
        <f>ROUND(D21*INDEX($N$19:$N$54,32),0)</f>
        <v>18</v>
      </c>
      <c r="AW21">
        <f>ROUND(D21*INDEX($N$19:$N$54,33),0)</f>
        <v>18</v>
      </c>
      <c r="AX21">
        <f>ROUND(D21*INDEX($N$19:$N$54,34),0)</f>
        <v>17</v>
      </c>
    </row>
    <row r="22">
      <c r="A22" t="inlineStr">
        <is>
          <t>2026-06-01</t>
        </is>
      </c>
      <c r="B22">
        <v>1</v>
      </c>
      <c r="C22" t="inlineStr">
        <is>
          <t>phase_1_user_growth</t>
        </is>
      </c>
      <c r="D22">
        <f>ROUND(MAX(100,I22*J22*K22),0)</f>
        <v>847</v>
      </c>
      <c r="E22">
        <f>MAX(0,F22-D22)</f>
        <v>324</v>
      </c>
      <c r="F22">
        <f>ROUND(SUM($R$19:$R$54),0)</f>
        <v>1171</v>
      </c>
      <c r="G22" t="inlineStr">
        <is>
          <t/>
        </is>
      </c>
      <c r="H22">
        <f>IF($B22=1,$B$6,IF($B22=2,$B$7,$B$8))</f>
        <v>0.1</v>
      </c>
      <c r="I22">
        <f>I21*(1+H22)</f>
        <v>931.7</v>
      </c>
      <c r="J22">
        <v>0.906254</v>
      </c>
      <c r="K22">
        <f>MAX(0.85,1+_xlfn.NORM.INV(RAND(),0,$B$15*0.35))</f>
        <v>1.003557</v>
      </c>
      <c r="L22" t="inlineStr">
        <is>
          <t/>
        </is>
      </c>
      <c r="M22">
        <v>3</v>
      </c>
      <c r="N22">
        <f>IF($M22=0,1,IF($M22=1,$B$11,IF($M22=2,$B$12,IF($M22=3,$B$13,$B$13*POWER($B$14,$M22-3))))</f>
        <v>0.05</v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>
        <f>ROUND(D22*INDEX($N$19:$N$54,1),0)</f>
        <v>847</v>
      </c>
      <c r="S22">
        <f>ROUND(D22*INDEX($N$19:$N$54,2),0)</f>
        <v>212</v>
      </c>
      <c r="T22">
        <f>ROUND(D22*INDEX($N$19:$N$54,3),0)</f>
        <v>102</v>
      </c>
      <c r="U22">
        <f>ROUND(D22*INDEX($N$19:$N$54,4),0)</f>
        <v>42</v>
      </c>
      <c r="V22">
        <f>ROUND(D22*INDEX($N$19:$N$54,5),0)</f>
        <v>41</v>
      </c>
      <c r="W22">
        <f>ROUND(D22*INDEX($N$19:$N$54,6),0)</f>
        <v>40</v>
      </c>
      <c r="X22">
        <f>ROUND(D22*INDEX($N$19:$N$54,7),0)</f>
        <v>39</v>
      </c>
      <c r="Y22">
        <f>ROUND(D22*INDEX($N$19:$N$54,8),0)</f>
        <v>37</v>
      </c>
      <c r="Z22">
        <f>ROUND(D22*INDEX($N$19:$N$54,9),0)</f>
        <v>36</v>
      </c>
      <c r="AA22">
        <f>ROUND(D22*INDEX($N$19:$N$54,10),0)</f>
        <v>35</v>
      </c>
      <c r="AB22">
        <f>ROUND(D22*INDEX($N$19:$N$54,11),0)</f>
        <v>34</v>
      </c>
      <c r="AC22">
        <f>ROUND(D22*INDEX($N$19:$N$54,12),0)</f>
        <v>33</v>
      </c>
      <c r="AD22">
        <f>ROUND(D22*INDEX($N$19:$N$54,13),0)</f>
        <v>32</v>
      </c>
      <c r="AE22">
        <f>ROUND(D22*INDEX($N$19:$N$54,14),0)</f>
        <v>31</v>
      </c>
      <c r="AF22">
        <f>ROUND(D22*INDEX($N$19:$N$54,15),0)</f>
        <v>30</v>
      </c>
      <c r="AG22">
        <f>ROUND(D22*INDEX($N$19:$N$54,16),0)</f>
        <v>29</v>
      </c>
      <c r="AH22">
        <f>ROUND(D22*INDEX($N$19:$N$54,17),0)</f>
        <v>29</v>
      </c>
      <c r="AI22">
        <f>ROUND(D22*INDEX($N$19:$N$54,18),0)</f>
        <v>28</v>
      </c>
      <c r="AJ22">
        <f>ROUND(D22*INDEX($N$19:$N$54,19),0)</f>
        <v>27</v>
      </c>
      <c r="AK22">
        <f>ROUND(D22*INDEX($N$19:$N$54,20),0)</f>
        <v>26</v>
      </c>
      <c r="AL22">
        <f>ROUND(D22*INDEX($N$19:$N$54,21),0)</f>
        <v>25</v>
      </c>
      <c r="AM22">
        <f>ROUND(D22*INDEX($N$19:$N$54,22),0)</f>
        <v>24</v>
      </c>
      <c r="AN22">
        <f>ROUND(D22*INDEX($N$19:$N$54,23),0)</f>
        <v>24</v>
      </c>
      <c r="AO22">
        <f>ROUND(D22*INDEX($N$19:$N$54,24),0)</f>
        <v>23</v>
      </c>
      <c r="AP22">
        <f>ROUND(D22*INDEX($N$19:$N$54,25),0)</f>
        <v>22</v>
      </c>
      <c r="AQ22">
        <f>ROUND(D22*INDEX($N$19:$N$54,26),0)</f>
        <v>22</v>
      </c>
      <c r="AR22">
        <f>ROUND(D22*INDEX($N$19:$N$54,27),0)</f>
        <v>21</v>
      </c>
      <c r="AS22">
        <f>ROUND(D22*INDEX($N$19:$N$54,28),0)</f>
        <v>20</v>
      </c>
      <c r="AT22">
        <f>ROUND(D22*INDEX($N$19:$N$54,29),0)</f>
        <v>20</v>
      </c>
      <c r="AU22">
        <f>ROUND(D22*INDEX($N$19:$N$54,30),0)</f>
        <v>19</v>
      </c>
      <c r="AV22">
        <f>ROUND(D22*INDEX($N$19:$N$54,31),0)</f>
        <v>19</v>
      </c>
      <c r="AW22">
        <f>ROUND(D22*INDEX($N$19:$N$54,32),0)</f>
        <v>18</v>
      </c>
      <c r="AX22">
        <f>ROUND(D22*INDEX($N$19:$N$54,33),0)</f>
        <v>18</v>
      </c>
    </row>
    <row r="23">
      <c r="A23" t="inlineStr">
        <is>
          <t>2026-07-01</t>
        </is>
      </c>
      <c r="B23">
        <v>1</v>
      </c>
      <c r="C23" t="inlineStr">
        <is>
          <t>phase_1_user_growth</t>
        </is>
      </c>
      <c r="D23">
        <f>ROUND(MAX(100,I23*J23*K23),0)</f>
        <v>915</v>
      </c>
      <c r="E23">
        <f>MAX(0,F23-D23)</f>
        <v>378</v>
      </c>
      <c r="F23">
        <f>ROUND(SUM($S$19:$S$54),0)</f>
        <v>1293</v>
      </c>
      <c r="G23" t="inlineStr">
        <is>
          <t/>
        </is>
      </c>
      <c r="H23">
        <f>IF($B23=1,$B$6,IF($B23=2,$B$7,$B$8))</f>
        <v>0.1</v>
      </c>
      <c r="I23">
        <f>I22*(1+H23)</f>
        <v>1024.87</v>
      </c>
      <c r="J23">
        <v>0.891844</v>
      </c>
      <c r="K23">
        <f>MAX(0.85,1+_xlfn.NORM.INV(RAND(),0,$B$15*0.35))</f>
        <v>1.000979</v>
      </c>
      <c r="L23" t="inlineStr">
        <is>
          <t/>
        </is>
      </c>
      <c r="M23">
        <v>4</v>
      </c>
      <c r="N23">
        <f>IF($M23=0,1,IF($M23=1,$B$11,IF($M23=2,$B$12,IF($M23=3,$B$13,$B$13*POWER($B$14,$M23-3))))</f>
        <v>0.0485</v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>
        <f>ROUND(D23*INDEX($N$19:$N$54,1),0)</f>
        <v>915</v>
      </c>
      <c r="T23">
        <f>ROUND(D23*INDEX($N$19:$N$54,2),0)</f>
        <v>229</v>
      </c>
      <c r="U23">
        <f>ROUND(D23*INDEX($N$19:$N$54,3),0)</f>
        <v>110</v>
      </c>
      <c r="V23">
        <f>ROUND(D23*INDEX($N$19:$N$54,4),0)</f>
        <v>46</v>
      </c>
      <c r="W23">
        <f>ROUND(D23*INDEX($N$19:$N$54,5),0)</f>
        <v>44</v>
      </c>
      <c r="X23">
        <f>ROUND(D23*INDEX($N$19:$N$54,6),0)</f>
        <v>43</v>
      </c>
      <c r="Y23">
        <f>ROUND(D23*INDEX($N$19:$N$54,7),0)</f>
        <v>42</v>
      </c>
      <c r="Z23">
        <f>ROUND(D23*INDEX($N$19:$N$54,8),0)</f>
        <v>41</v>
      </c>
      <c r="AA23">
        <f>ROUND(D23*INDEX($N$19:$N$54,9),0)</f>
        <v>39</v>
      </c>
      <c r="AB23">
        <f>ROUND(D23*INDEX($N$19:$N$54,10),0)</f>
        <v>38</v>
      </c>
      <c r="AC23">
        <f>ROUND(D23*INDEX($N$19:$N$54,11),0)</f>
        <v>37</v>
      </c>
      <c r="AD23">
        <f>ROUND(D23*INDEX($N$19:$N$54,12),0)</f>
        <v>36</v>
      </c>
      <c r="AE23">
        <f>ROUND(D23*INDEX($N$19:$N$54,13),0)</f>
        <v>35</v>
      </c>
      <c r="AF23">
        <f>ROUND(D23*INDEX($N$19:$N$54,14),0)</f>
        <v>34</v>
      </c>
      <c r="AG23">
        <f>ROUND(D23*INDEX($N$19:$N$54,15),0)</f>
        <v>33</v>
      </c>
      <c r="AH23">
        <f>ROUND(D23*INDEX($N$19:$N$54,16),0)</f>
        <v>32</v>
      </c>
      <c r="AI23">
        <f>ROUND(D23*INDEX($N$19:$N$54,17),0)</f>
        <v>31</v>
      </c>
      <c r="AJ23">
        <f>ROUND(D23*INDEX($N$19:$N$54,18),0)</f>
        <v>30</v>
      </c>
      <c r="AK23">
        <f>ROUND(D23*INDEX($N$19:$N$54,19),0)</f>
        <v>29</v>
      </c>
      <c r="AL23">
        <f>ROUND(D23*INDEX($N$19:$N$54,20),0)</f>
        <v>28</v>
      </c>
      <c r="AM23">
        <f>ROUND(D23*INDEX($N$19:$N$54,21),0)</f>
        <v>27</v>
      </c>
      <c r="AN23">
        <f>ROUND(D23*INDEX($N$19:$N$54,22),0)</f>
        <v>26</v>
      </c>
      <c r="AO23">
        <f>ROUND(D23*INDEX($N$19:$N$54,23),0)</f>
        <v>26</v>
      </c>
      <c r="AP23">
        <f>ROUND(D23*INDEX($N$19:$N$54,24),0)</f>
        <v>25</v>
      </c>
      <c r="AQ23">
        <f>ROUND(D23*INDEX($N$19:$N$54,25),0)</f>
        <v>24</v>
      </c>
      <c r="AR23">
        <f>ROUND(D23*INDEX($N$19:$N$54,26),0)</f>
        <v>23</v>
      </c>
      <c r="AS23">
        <f>ROUND(D23*INDEX($N$19:$N$54,27),0)</f>
        <v>23</v>
      </c>
      <c r="AT23">
        <f>ROUND(D23*INDEX($N$19:$N$54,28),0)</f>
        <v>22</v>
      </c>
      <c r="AU23">
        <f>ROUND(D23*INDEX($N$19:$N$54,29),0)</f>
        <v>21</v>
      </c>
      <c r="AV23">
        <f>ROUND(D23*INDEX($N$19:$N$54,30),0)</f>
        <v>21</v>
      </c>
      <c r="AW23">
        <f>ROUND(D23*INDEX($N$19:$N$54,31),0)</f>
        <v>20</v>
      </c>
      <c r="AX23">
        <f>ROUND(D23*INDEX($N$19:$N$54,32),0)</f>
        <v>19</v>
      </c>
    </row>
    <row r="24">
      <c r="A24" t="inlineStr">
        <is>
          <t>2026-08-01</t>
        </is>
      </c>
      <c r="B24">
        <v>1</v>
      </c>
      <c r="C24" t="inlineStr">
        <is>
          <t>phase_1_user_growth</t>
        </is>
      </c>
      <c r="D24">
        <f>ROUND(MAX(100,I24*J24*K24),0)</f>
        <v>1069</v>
      </c>
      <c r="E24">
        <f>MAX(0,F24-D24)</f>
        <v>434</v>
      </c>
      <c r="F24">
        <f>ROUND(SUM($T$19:$T$54),0)</f>
        <v>1503</v>
      </c>
      <c r="G24" t="inlineStr">
        <is>
          <t/>
        </is>
      </c>
      <c r="H24">
        <f>IF($B24=1,$B$6,IF($B24=2,$B$7,$B$8))</f>
        <v>0.1</v>
      </c>
      <c r="I24">
        <f>I23*(1+H24)</f>
        <v>1127.36</v>
      </c>
      <c r="J24">
        <v>0.921643</v>
      </c>
      <c r="K24">
        <f>MAX(0.85,1+_xlfn.NORM.INV(RAND(),0,$B$15*0.35))</f>
        <v>1.028426</v>
      </c>
      <c r="L24" t="inlineStr">
        <is>
          <t/>
        </is>
      </c>
      <c r="M24">
        <v>5</v>
      </c>
      <c r="N24">
        <f>IF($M24=0,1,IF($M24=1,$B$11,IF($M24=2,$B$12,IF($M24=3,$B$13,$B$13*POWER($B$14,$M24-3))))</f>
        <v>0.047045</v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>
        <f>ROUND(D24*INDEX($N$19:$N$54,1),0)</f>
        <v>1069</v>
      </c>
      <c r="U24">
        <f>ROUND(D24*INDEX($N$19:$N$54,2),0)</f>
        <v>267</v>
      </c>
      <c r="V24">
        <f>ROUND(D24*INDEX($N$19:$N$54,3),0)</f>
        <v>128</v>
      </c>
      <c r="W24">
        <f>ROUND(D24*INDEX($N$19:$N$54,4),0)</f>
        <v>53</v>
      </c>
      <c r="X24">
        <f>ROUND(D24*INDEX($N$19:$N$54,5),0)</f>
        <v>52</v>
      </c>
      <c r="Y24">
        <f>ROUND(D24*INDEX($N$19:$N$54,6),0)</f>
        <v>50</v>
      </c>
      <c r="Z24">
        <f>ROUND(D24*INDEX($N$19:$N$54,7),0)</f>
        <v>49</v>
      </c>
      <c r="AA24">
        <f>ROUND(D24*INDEX($N$19:$N$54,8),0)</f>
        <v>47</v>
      </c>
      <c r="AB24">
        <f>ROUND(D24*INDEX($N$19:$N$54,9),0)</f>
        <v>46</v>
      </c>
      <c r="AC24">
        <f>ROUND(D24*INDEX($N$19:$N$54,10),0)</f>
        <v>45</v>
      </c>
      <c r="AD24">
        <f>ROUND(D24*INDEX($N$19:$N$54,11),0)</f>
        <v>43</v>
      </c>
      <c r="AE24">
        <f>ROUND(D24*INDEX($N$19:$N$54,12),0)</f>
        <v>42</v>
      </c>
      <c r="AF24">
        <f>ROUND(D24*INDEX($N$19:$N$54,13),0)</f>
        <v>41</v>
      </c>
      <c r="AG24">
        <f>ROUND(D24*INDEX($N$19:$N$54,14),0)</f>
        <v>39</v>
      </c>
      <c r="AH24">
        <f>ROUND(D24*INDEX($N$19:$N$54,15),0)</f>
        <v>38</v>
      </c>
      <c r="AI24">
        <f>ROUND(D24*INDEX($N$19:$N$54,16),0)</f>
        <v>37</v>
      </c>
      <c r="AJ24">
        <f>ROUND(D24*INDEX($N$19:$N$54,17),0)</f>
        <v>36</v>
      </c>
      <c r="AK24">
        <f>ROUND(D24*INDEX($N$19:$N$54,18),0)</f>
        <v>35</v>
      </c>
      <c r="AL24">
        <f>ROUND(D24*INDEX($N$19:$N$54,19),0)</f>
        <v>34</v>
      </c>
      <c r="AM24">
        <f>ROUND(D24*INDEX($N$19:$N$54,20),0)</f>
        <v>33</v>
      </c>
      <c r="AN24">
        <f>ROUND(D24*INDEX($N$19:$N$54,21),0)</f>
        <v>32</v>
      </c>
      <c r="AO24">
        <f>ROUND(D24*INDEX($N$19:$N$54,22),0)</f>
        <v>31</v>
      </c>
      <c r="AP24">
        <f>ROUND(D24*INDEX($N$19:$N$54,23),0)</f>
        <v>30</v>
      </c>
      <c r="AQ24">
        <f>ROUND(D24*INDEX($N$19:$N$54,24),0)</f>
        <v>29</v>
      </c>
      <c r="AR24">
        <f>ROUND(D24*INDEX($N$19:$N$54,25),0)</f>
        <v>28</v>
      </c>
      <c r="AS24">
        <f>ROUND(D24*INDEX($N$19:$N$54,26),0)</f>
        <v>27</v>
      </c>
      <c r="AT24">
        <f>ROUND(D24*INDEX($N$19:$N$54,27),0)</f>
        <v>27</v>
      </c>
      <c r="AU24">
        <f>ROUND(D24*INDEX($N$19:$N$54,28),0)</f>
        <v>26</v>
      </c>
      <c r="AV24">
        <f>ROUND(D24*INDEX($N$19:$N$54,29),0)</f>
        <v>25</v>
      </c>
      <c r="AW24">
        <f>ROUND(D24*INDEX($N$19:$N$54,30),0)</f>
        <v>24</v>
      </c>
      <c r="AX24">
        <f>ROUND(D24*INDEX($N$19:$N$54,31),0)</f>
        <v>23</v>
      </c>
    </row>
    <row r="25">
      <c r="A25" t="inlineStr">
        <is>
          <t>2026-09-01</t>
        </is>
      </c>
      <c r="B25">
        <v>1</v>
      </c>
      <c r="C25" t="inlineStr">
        <is>
          <t>phase_1_user_growth</t>
        </is>
      </c>
      <c r="D25">
        <f>ROUND(MAX(100,I25*J25*K25),0)</f>
        <v>1074</v>
      </c>
      <c r="E25">
        <f>MAX(0,F25-D25)</f>
        <v>519</v>
      </c>
      <c r="F25">
        <f>ROUND(SUM($U$19:$U$54),0)</f>
        <v>1593</v>
      </c>
      <c r="G25" t="inlineStr">
        <is>
          <t/>
        </is>
      </c>
      <c r="H25">
        <f>IF($B25=1,$B$6,IF($B25=2,$B$7,$B$8))</f>
        <v>0.1</v>
      </c>
      <c r="I25">
        <f>I24*(1+H25)</f>
        <v>1240.09</v>
      </c>
      <c r="J25">
        <v>0.885988</v>
      </c>
      <c r="K25">
        <f>MAX(0.85,1+_xlfn.NORM.INV(RAND(),0,$B$15*0.35))</f>
        <v>0.977212</v>
      </c>
      <c r="L25" t="inlineStr">
        <is>
          <t/>
        </is>
      </c>
      <c r="M25">
        <v>6</v>
      </c>
      <c r="N25">
        <f>IF($M25=0,1,IF($M25=1,$B$11,IF($M25=2,$B$12,IF($M25=3,$B$13,$B$13*POWER($B$14,$M25-3))))</f>
        <v>0.04563365</v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>
        <f>ROUND(D25*INDEX($N$19:$N$54,1),0)</f>
        <v>1074</v>
      </c>
      <c r="V25">
        <f>ROUND(D25*INDEX($N$19:$N$54,2),0)</f>
        <v>268</v>
      </c>
      <c r="W25">
        <f>ROUND(D25*INDEX($N$19:$N$54,3),0)</f>
        <v>129</v>
      </c>
      <c r="X25">
        <f>ROUND(D25*INDEX($N$19:$N$54,4),0)</f>
        <v>54</v>
      </c>
      <c r="Y25">
        <f>ROUND(D25*INDEX($N$19:$N$54,5),0)</f>
        <v>52</v>
      </c>
      <c r="Z25">
        <f>ROUND(D25*INDEX($N$19:$N$54,6),0)</f>
        <v>51</v>
      </c>
      <c r="AA25">
        <f>ROUND(D25*INDEX($N$19:$N$54,7),0)</f>
        <v>49</v>
      </c>
      <c r="AB25">
        <f>ROUND(D25*INDEX($N$19:$N$54,8),0)</f>
        <v>48</v>
      </c>
      <c r="AC25">
        <f>ROUND(D25*INDEX($N$19:$N$54,9),0)</f>
        <v>46</v>
      </c>
      <c r="AD25">
        <f>ROUND(D25*INDEX($N$19:$N$54,10),0)</f>
        <v>45</v>
      </c>
      <c r="AE25">
        <f>ROUND(D25*INDEX($N$19:$N$54,11),0)</f>
        <v>43</v>
      </c>
      <c r="AF25">
        <f>ROUND(D25*INDEX($N$19:$N$54,12),0)</f>
        <v>42</v>
      </c>
      <c r="AG25">
        <f>ROUND(D25*INDEX($N$19:$N$54,13),0)</f>
        <v>41</v>
      </c>
      <c r="AH25">
        <f>ROUND(D25*INDEX($N$19:$N$54,14),0)</f>
        <v>40</v>
      </c>
      <c r="AI25">
        <f>ROUND(D25*INDEX($N$19:$N$54,15),0)</f>
        <v>38</v>
      </c>
      <c r="AJ25">
        <f>ROUND(D25*INDEX($N$19:$N$54,16),0)</f>
        <v>37</v>
      </c>
      <c r="AK25">
        <f>ROUND(D25*INDEX($N$19:$N$54,17),0)</f>
        <v>36</v>
      </c>
      <c r="AL25">
        <f>ROUND(D25*INDEX($N$19:$N$54,18),0)</f>
        <v>35</v>
      </c>
      <c r="AM25">
        <f>ROUND(D25*INDEX($N$19:$N$54,19),0)</f>
        <v>34</v>
      </c>
      <c r="AN25">
        <f>ROUND(D25*INDEX($N$19:$N$54,20),0)</f>
        <v>33</v>
      </c>
      <c r="AO25">
        <f>ROUND(D25*INDEX($N$19:$N$54,21),0)</f>
        <v>32</v>
      </c>
      <c r="AP25">
        <f>ROUND(D25*INDEX($N$19:$N$54,22),0)</f>
        <v>31</v>
      </c>
      <c r="AQ25">
        <f>ROUND(D25*INDEX($N$19:$N$54,23),0)</f>
        <v>30</v>
      </c>
      <c r="AR25">
        <f>ROUND(D25*INDEX($N$19:$N$54,24),0)</f>
        <v>29</v>
      </c>
      <c r="AS25">
        <f>ROUND(D25*INDEX($N$19:$N$54,25),0)</f>
        <v>28</v>
      </c>
      <c r="AT25">
        <f>ROUND(D25*INDEX($N$19:$N$54,26),0)</f>
        <v>27</v>
      </c>
      <c r="AU25">
        <f>ROUND(D25*INDEX($N$19:$N$54,27),0)</f>
        <v>27</v>
      </c>
      <c r="AV25">
        <f>ROUND(D25*INDEX($N$19:$N$54,28),0)</f>
        <v>26</v>
      </c>
      <c r="AW25">
        <f>ROUND(D25*INDEX($N$19:$N$54,29),0)</f>
        <v>25</v>
      </c>
      <c r="AX25">
        <f>ROUND(D25*INDEX($N$19:$N$54,30),0)</f>
        <v>24</v>
      </c>
    </row>
    <row r="26">
      <c r="A26" t="inlineStr">
        <is>
          <t>2026-10-01</t>
        </is>
      </c>
      <c r="B26">
        <v>1</v>
      </c>
      <c r="C26" t="inlineStr">
        <is>
          <t>phase_1_user_growth</t>
        </is>
      </c>
      <c r="D26">
        <f>ROUND(MAX(100,I26*J26*K26),0)</f>
        <v>1244</v>
      </c>
      <c r="E26">
        <f>MAX(0,F26-D26)</f>
        <v>580</v>
      </c>
      <c r="F26">
        <f>ROUND(SUM($V$19:$V$54),0)</f>
        <v>1824</v>
      </c>
      <c r="G26" t="inlineStr">
        <is>
          <t/>
        </is>
      </c>
      <c r="H26">
        <f>IF($B26=1,$B$6,IF($B26=2,$B$7,$B$8))</f>
        <v>0.1</v>
      </c>
      <c r="I26">
        <f>I25*(1+H26)</f>
        <v>1364.1</v>
      </c>
      <c r="J26">
        <v>0.911037</v>
      </c>
      <c r="K26">
        <f>MAX(0.85,1+_xlfn.NORM.INV(RAND(),0,$B$15*0.35))</f>
        <v>1.000724</v>
      </c>
      <c r="L26" t="inlineStr">
        <is>
          <t/>
        </is>
      </c>
      <c r="M26">
        <v>7</v>
      </c>
      <c r="N26">
        <f>IF($M26=0,1,IF($M26=1,$B$11,IF($M26=2,$B$12,IF($M26=3,$B$13,$B$13*POWER($B$14,$M26-3))))</f>
        <v>0.0442646405</v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>
        <f>ROUND(D26*INDEX($N$19:$N$54,1),0)</f>
        <v>1244</v>
      </c>
      <c r="W26">
        <f>ROUND(D26*INDEX($N$19:$N$54,2),0)</f>
        <v>311</v>
      </c>
      <c r="X26">
        <f>ROUND(D26*INDEX($N$19:$N$54,3),0)</f>
        <v>149</v>
      </c>
      <c r="Y26">
        <f>ROUND(D26*INDEX($N$19:$N$54,4),0)</f>
        <v>62</v>
      </c>
      <c r="Z26">
        <f>ROUND(D26*INDEX($N$19:$N$54,5),0)</f>
        <v>60</v>
      </c>
      <c r="AA26">
        <f>ROUND(D26*INDEX($N$19:$N$54,6),0)</f>
        <v>59</v>
      </c>
      <c r="AB26">
        <f>ROUND(D26*INDEX($N$19:$N$54,7),0)</f>
        <v>57</v>
      </c>
      <c r="AC26">
        <f>ROUND(D26*INDEX($N$19:$N$54,8),0)</f>
        <v>55</v>
      </c>
      <c r="AD26">
        <f>ROUND(D26*INDEX($N$19:$N$54,9),0)</f>
        <v>53</v>
      </c>
      <c r="AE26">
        <f>ROUND(D26*INDEX($N$19:$N$54,10),0)</f>
        <v>52</v>
      </c>
      <c r="AF26">
        <f>ROUND(D26*INDEX($N$19:$N$54,11),0)</f>
        <v>50</v>
      </c>
      <c r="AG26">
        <f>ROUND(D26*INDEX($N$19:$N$54,12),0)</f>
        <v>49</v>
      </c>
      <c r="AH26">
        <f>ROUND(D26*INDEX($N$19:$N$54,13),0)</f>
        <v>47</v>
      </c>
      <c r="AI26">
        <f>ROUND(D26*INDEX($N$19:$N$54,14),0)</f>
        <v>46</v>
      </c>
      <c r="AJ26">
        <f>ROUND(D26*INDEX($N$19:$N$54,15),0)</f>
        <v>44</v>
      </c>
      <c r="AK26">
        <f>ROUND(D26*INDEX($N$19:$N$54,16),0)</f>
        <v>43</v>
      </c>
      <c r="AL26">
        <f>ROUND(D26*INDEX($N$19:$N$54,17),0)</f>
        <v>42</v>
      </c>
      <c r="AM26">
        <f>ROUND(D26*INDEX($N$19:$N$54,18),0)</f>
        <v>41</v>
      </c>
      <c r="AN26">
        <f>ROUND(D26*INDEX($N$19:$N$54,19),0)</f>
        <v>39</v>
      </c>
      <c r="AO26">
        <f>ROUND(D26*INDEX($N$19:$N$54,20),0)</f>
        <v>38</v>
      </c>
      <c r="AP26">
        <f>ROUND(D26*INDEX($N$19:$N$54,21),0)</f>
        <v>37</v>
      </c>
      <c r="AQ26">
        <f>ROUND(D26*INDEX($N$19:$N$54,22),0)</f>
        <v>36</v>
      </c>
      <c r="AR26">
        <f>ROUND(D26*INDEX($N$19:$N$54,23),0)</f>
        <v>35</v>
      </c>
      <c r="AS26">
        <f>ROUND(D26*INDEX($N$19:$N$54,24),0)</f>
        <v>34</v>
      </c>
      <c r="AT26">
        <f>ROUND(D26*INDEX($N$19:$N$54,25),0)</f>
        <v>33</v>
      </c>
      <c r="AU26">
        <f>ROUND(D26*INDEX($N$19:$N$54,26),0)</f>
        <v>32</v>
      </c>
      <c r="AV26">
        <f>ROUND(D26*INDEX($N$19:$N$54,27),0)</f>
        <v>31</v>
      </c>
      <c r="AW26">
        <f>ROUND(D26*INDEX($N$19:$N$54,28),0)</f>
        <v>30</v>
      </c>
      <c r="AX26">
        <f>ROUND(D26*INDEX($N$19:$N$54,29),0)</f>
        <v>29</v>
      </c>
    </row>
    <row r="27">
      <c r="A27" t="inlineStr">
        <is>
          <t>2026-11-01</t>
        </is>
      </c>
      <c r="B27">
        <v>1</v>
      </c>
      <c r="C27" t="inlineStr">
        <is>
          <t>phase_1_user_growth</t>
        </is>
      </c>
      <c r="D27">
        <f>ROUND(MAX(100,I27*J27*K27),0)</f>
        <v>2020</v>
      </c>
      <c r="E27">
        <f>MAX(0,F27-D27)</f>
        <v>671</v>
      </c>
      <c r="F27">
        <f>ROUND(SUM($W$19:$W$54),0)</f>
        <v>2691</v>
      </c>
      <c r="G27" t="inlineStr">
        <is>
          <t/>
        </is>
      </c>
      <c r="H27">
        <f>IF($B27=1,$B$6,IF($B27=2,$B$7,$B$8))</f>
        <v>0.1</v>
      </c>
      <c r="I27">
        <f>I26*(1+H27)</f>
        <v>1500.51</v>
      </c>
      <c r="J27">
        <v>1.344002</v>
      </c>
      <c r="K27">
        <f>MAX(0.85,1+_xlfn.NORM.INV(RAND(),0,$B$15*0.35))</f>
        <v>1.001745</v>
      </c>
      <c r="L27" t="inlineStr">
        <is>
          <t/>
        </is>
      </c>
      <c r="M27">
        <v>8</v>
      </c>
      <c r="N27">
        <f>IF($M27=0,1,IF($M27=1,$B$11,IF($M27=2,$B$12,IF($M27=3,$B$13,$B$13*POWER($B$14,$M27-3))))</f>
        <v>0.042936701285</v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>
        <f>ROUND(D27*INDEX($N$19:$N$54,1),0)</f>
        <v>2020</v>
      </c>
      <c r="X27">
        <f>ROUND(D27*INDEX($N$19:$N$54,2),0)</f>
        <v>505</v>
      </c>
      <c r="Y27">
        <f>ROUND(D27*INDEX($N$19:$N$54,3),0)</f>
        <v>242</v>
      </c>
      <c r="Z27">
        <f>ROUND(D27*INDEX($N$19:$N$54,4),0)</f>
        <v>101</v>
      </c>
      <c r="AA27">
        <f>ROUND(D27*INDEX($N$19:$N$54,5),0)</f>
        <v>98</v>
      </c>
      <c r="AB27">
        <f>ROUND(D27*INDEX($N$19:$N$54,6),0)</f>
        <v>95</v>
      </c>
      <c r="AC27">
        <f>ROUND(D27*INDEX($N$19:$N$54,7),0)</f>
        <v>92</v>
      </c>
      <c r="AD27">
        <f>ROUND(D27*INDEX($N$19:$N$54,8),0)</f>
        <v>89</v>
      </c>
      <c r="AE27">
        <f>ROUND(D27*INDEX($N$19:$N$54,9),0)</f>
        <v>87</v>
      </c>
      <c r="AF27">
        <f>ROUND(D27*INDEX($N$19:$N$54,10),0)</f>
        <v>84</v>
      </c>
      <c r="AG27">
        <f>ROUND(D27*INDEX($N$19:$N$54,11),0)</f>
        <v>82</v>
      </c>
      <c r="AH27">
        <f>ROUND(D27*INDEX($N$19:$N$54,12),0)</f>
        <v>79</v>
      </c>
      <c r="AI27">
        <f>ROUND(D27*INDEX($N$19:$N$54,13),0)</f>
        <v>77</v>
      </c>
      <c r="AJ27">
        <f>ROUND(D27*INDEX($N$19:$N$54,14),0)</f>
        <v>74</v>
      </c>
      <c r="AK27">
        <f>ROUND(D27*INDEX($N$19:$N$54,15),0)</f>
        <v>72</v>
      </c>
      <c r="AL27">
        <f>ROUND(D27*INDEX($N$19:$N$54,16),0)</f>
        <v>70</v>
      </c>
      <c r="AM27">
        <f>ROUND(D27*INDEX($N$19:$N$54,17),0)</f>
        <v>68</v>
      </c>
      <c r="AN27">
        <f>ROUND(D27*INDEX($N$19:$N$54,18),0)</f>
        <v>66</v>
      </c>
      <c r="AO27">
        <f>ROUND(D27*INDEX($N$19:$N$54,19),0)</f>
        <v>64</v>
      </c>
      <c r="AP27">
        <f>ROUND(D27*INDEX($N$19:$N$54,20),0)</f>
        <v>62</v>
      </c>
      <c r="AQ27">
        <f>ROUND(D27*INDEX($N$19:$N$54,21),0)</f>
        <v>60</v>
      </c>
      <c r="AR27">
        <f>ROUND(D27*INDEX($N$19:$N$54,22),0)</f>
        <v>58</v>
      </c>
      <c r="AS27">
        <f>ROUND(D27*INDEX($N$19:$N$54,23),0)</f>
        <v>57</v>
      </c>
      <c r="AT27">
        <f>ROUND(D27*INDEX($N$19:$N$54,24),0)</f>
        <v>55</v>
      </c>
      <c r="AU27">
        <f>ROUND(D27*INDEX($N$19:$N$54,25),0)</f>
        <v>53</v>
      </c>
      <c r="AV27">
        <f>ROUND(D27*INDEX($N$19:$N$54,26),0)</f>
        <v>52</v>
      </c>
      <c r="AW27">
        <f>ROUND(D27*INDEX($N$19:$N$54,27),0)</f>
        <v>50</v>
      </c>
      <c r="AX27">
        <f>ROUND(D27*INDEX($N$19:$N$54,28),0)</f>
        <v>49</v>
      </c>
    </row>
    <row r="28">
      <c r="A28" t="inlineStr">
        <is>
          <t>2026-12-01</t>
        </is>
      </c>
      <c r="B28">
        <v>1</v>
      </c>
      <c r="C28" t="inlineStr">
        <is>
          <t>phase_1_user_growth</t>
        </is>
      </c>
      <c r="D28">
        <f>ROUND(MAX(100,I28*J28*K28),0)</f>
        <v>4065</v>
      </c>
      <c r="E28">
        <f>MAX(0,F28-D28)</f>
        <v>933</v>
      </c>
      <c r="F28">
        <f>ROUND(SUM($X$19:$X$54),0)</f>
        <v>4998</v>
      </c>
      <c r="G28" t="inlineStr">
        <is>
          <t/>
        </is>
      </c>
      <c r="H28">
        <f>IF($B28=1,$B$6,IF($B28=2,$B$7,$B$8))</f>
        <v>0.1</v>
      </c>
      <c r="I28">
        <f>I27*(1+H28)</f>
        <v>1650.56</v>
      </c>
      <c r="J28">
        <v>2.521434</v>
      </c>
      <c r="K28">
        <f>MAX(0.85,1+_xlfn.NORM.INV(RAND(),0,$B$15*0.35))</f>
        <v>0.976809</v>
      </c>
      <c r="L28" t="inlineStr">
        <is>
          <t/>
        </is>
      </c>
      <c r="M28">
        <v>9</v>
      </c>
      <c r="N28">
        <f>IF($M28=0,1,IF($M28=1,$B$11,IF($M28=2,$B$12,IF($M28=3,$B$13,$B$13*POWER($B$14,$M28-3))))</f>
        <v>0.04164860024645</v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>
        <f>ROUND(D28*INDEX($N$19:$N$54,1),0)</f>
        <v>4065</v>
      </c>
      <c r="Y28">
        <f>ROUND(D28*INDEX($N$19:$N$54,2),0)</f>
        <v>1016</v>
      </c>
      <c r="Z28">
        <f>ROUND(D28*INDEX($N$19:$N$54,3),0)</f>
        <v>488</v>
      </c>
      <c r="AA28">
        <f>ROUND(D28*INDEX($N$19:$N$54,4),0)</f>
        <v>203</v>
      </c>
      <c r="AB28">
        <f>ROUND(D28*INDEX($N$19:$N$54,5),0)</f>
        <v>197</v>
      </c>
      <c r="AC28">
        <f>ROUND(D28*INDEX($N$19:$N$54,6),0)</f>
        <v>191</v>
      </c>
      <c r="AD28">
        <f>ROUND(D28*INDEX($N$19:$N$54,7),0)</f>
        <v>186</v>
      </c>
      <c r="AE28">
        <f>ROUND(D28*INDEX($N$19:$N$54,8),0)</f>
        <v>180</v>
      </c>
      <c r="AF28">
        <f>ROUND(D28*INDEX($N$19:$N$54,9),0)</f>
        <v>175</v>
      </c>
      <c r="AG28">
        <f>ROUND(D28*INDEX($N$19:$N$54,10),0)</f>
        <v>169</v>
      </c>
      <c r="AH28">
        <f>ROUND(D28*INDEX($N$19:$N$54,11),0)</f>
        <v>164</v>
      </c>
      <c r="AI28">
        <f>ROUND(D28*INDEX($N$19:$N$54,12),0)</f>
        <v>159</v>
      </c>
      <c r="AJ28">
        <f>ROUND(D28*INDEX($N$19:$N$54,13),0)</f>
        <v>155</v>
      </c>
      <c r="AK28">
        <f>ROUND(D28*INDEX($N$19:$N$54,14),0)</f>
        <v>150</v>
      </c>
      <c r="AL28">
        <f>ROUND(D28*INDEX($N$19:$N$54,15),0)</f>
        <v>145</v>
      </c>
      <c r="AM28">
        <f>ROUND(D28*INDEX($N$19:$N$54,16),0)</f>
        <v>141</v>
      </c>
      <c r="AN28">
        <f>ROUND(D28*INDEX($N$19:$N$54,17),0)</f>
        <v>137</v>
      </c>
      <c r="AO28">
        <f>ROUND(D28*INDEX($N$19:$N$54,18),0)</f>
        <v>133</v>
      </c>
      <c r="AP28">
        <f>ROUND(D28*INDEX($N$19:$N$54,19),0)</f>
        <v>129</v>
      </c>
      <c r="AQ28">
        <f>ROUND(D28*INDEX($N$19:$N$54,20),0)</f>
        <v>125</v>
      </c>
      <c r="AR28">
        <f>ROUND(D28*INDEX($N$19:$N$54,21),0)</f>
        <v>121</v>
      </c>
      <c r="AS28">
        <f>ROUND(D28*INDEX($N$19:$N$54,22),0)</f>
        <v>117</v>
      </c>
      <c r="AT28">
        <f>ROUND(D28*INDEX($N$19:$N$54,23),0)</f>
        <v>114</v>
      </c>
      <c r="AU28">
        <f>ROUND(D28*INDEX($N$19:$N$54,24),0)</f>
        <v>111</v>
      </c>
      <c r="AV28">
        <f>ROUND(D28*INDEX($N$19:$N$54,25),0)</f>
        <v>107</v>
      </c>
      <c r="AW28">
        <f>ROUND(D28*INDEX($N$19:$N$54,26),0)</f>
        <v>104</v>
      </c>
      <c r="AX28">
        <f>ROUND(D28*INDEX($N$19:$N$54,27),0)</f>
        <v>101</v>
      </c>
    </row>
    <row r="29">
      <c r="A29" t="inlineStr">
        <is>
          <t>2027-01-01</t>
        </is>
      </c>
      <c r="B29">
        <v>1</v>
      </c>
      <c r="C29" t="inlineStr">
        <is>
          <t>phase_1_user_growth</t>
        </is>
      </c>
      <c r="D29">
        <f>ROUND(MAX(100,I29*J29*K29),0)</f>
        <v>1470</v>
      </c>
      <c r="E29">
        <f>MAX(0,F29-D29)</f>
        <v>1590</v>
      </c>
      <c r="F29">
        <f>ROUND(SUM($Y$19:$Y$54),0)</f>
        <v>3060</v>
      </c>
      <c r="G29" t="inlineStr">
        <is>
          <t/>
        </is>
      </c>
      <c r="H29">
        <f>IF($B29=1,$B$6,IF($B29=2,$B$7,$B$8))</f>
        <v>0.1</v>
      </c>
      <c r="I29">
        <f>I28*(1+H29)</f>
        <v>1815.62</v>
      </c>
      <c r="J29">
        <v>0.805962</v>
      </c>
      <c r="K29">
        <f>MAX(0.85,1+_xlfn.NORM.INV(RAND(),0,$B$15*0.35))</f>
        <v>1.004354</v>
      </c>
      <c r="L29" t="inlineStr">
        <is>
          <t/>
        </is>
      </c>
      <c r="M29">
        <v>10</v>
      </c>
      <c r="N29">
        <f>IF($M29=0,1,IF($M29=1,$B$11,IF($M29=2,$B$12,IF($M29=3,$B$13,$B$13*POWER($B$14,$M29-3))))</f>
        <v>0.0403991422390565</v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>
        <f>ROUND(D29*INDEX($N$19:$N$54,1),0)</f>
        <v>1470</v>
      </c>
      <c r="Z29">
        <f>ROUND(D29*INDEX($N$19:$N$54,2),0)</f>
        <v>368</v>
      </c>
      <c r="AA29">
        <f>ROUND(D29*INDEX($N$19:$N$54,3),0)</f>
        <v>176</v>
      </c>
      <c r="AB29">
        <f>ROUND(D29*INDEX($N$19:$N$54,4),0)</f>
        <v>74</v>
      </c>
      <c r="AC29">
        <f>ROUND(D29*INDEX($N$19:$N$54,5),0)</f>
        <v>71</v>
      </c>
      <c r="AD29">
        <f>ROUND(D29*INDEX($N$19:$N$54,6),0)</f>
        <v>69</v>
      </c>
      <c r="AE29">
        <f>ROUND(D29*INDEX($N$19:$N$54,7),0)</f>
        <v>67</v>
      </c>
      <c r="AF29">
        <f>ROUND(D29*INDEX($N$19:$N$54,8),0)</f>
        <v>65</v>
      </c>
      <c r="AG29">
        <f>ROUND(D29*INDEX($N$19:$N$54,9),0)</f>
        <v>63</v>
      </c>
      <c r="AH29">
        <f>ROUND(D29*INDEX($N$19:$N$54,10),0)</f>
        <v>61</v>
      </c>
      <c r="AI29">
        <f>ROUND(D29*INDEX($N$19:$N$54,11),0)</f>
        <v>59</v>
      </c>
      <c r="AJ29">
        <f>ROUND(D29*INDEX($N$19:$N$54,12),0)</f>
        <v>58</v>
      </c>
      <c r="AK29">
        <f>ROUND(D29*INDEX($N$19:$N$54,13),0)</f>
        <v>56</v>
      </c>
      <c r="AL29">
        <f>ROUND(D29*INDEX($N$19:$N$54,14),0)</f>
        <v>54</v>
      </c>
      <c r="AM29">
        <f>ROUND(D29*INDEX($N$19:$N$54,15),0)</f>
        <v>53</v>
      </c>
      <c r="AN29">
        <f>ROUND(D29*INDEX($N$19:$N$54,16),0)</f>
        <v>51</v>
      </c>
      <c r="AO29">
        <f>ROUND(D29*INDEX($N$19:$N$54,17),0)</f>
        <v>49</v>
      </c>
      <c r="AP29">
        <f>ROUND(D29*INDEX($N$19:$N$54,18),0)</f>
        <v>48</v>
      </c>
      <c r="AQ29">
        <f>ROUND(D29*INDEX($N$19:$N$54,19),0)</f>
        <v>47</v>
      </c>
      <c r="AR29">
        <f>ROUND(D29*INDEX($N$19:$N$54,20),0)</f>
        <v>45</v>
      </c>
      <c r="AS29">
        <f>ROUND(D29*INDEX($N$19:$N$54,21),0)</f>
        <v>44</v>
      </c>
      <c r="AT29">
        <f>ROUND(D29*INDEX($N$19:$N$54,22),0)</f>
        <v>42</v>
      </c>
      <c r="AU29">
        <f>ROUND(D29*INDEX($N$19:$N$54,23),0)</f>
        <v>41</v>
      </c>
      <c r="AV29">
        <f>ROUND(D29*INDEX($N$19:$N$54,24),0)</f>
        <v>40</v>
      </c>
      <c r="AW29">
        <f>ROUND(D29*INDEX($N$19:$N$54,25),0)</f>
        <v>39</v>
      </c>
      <c r="AX29">
        <f>ROUND(D29*INDEX($N$19:$N$54,26),0)</f>
        <v>38</v>
      </c>
    </row>
    <row r="30">
      <c r="A30" t="inlineStr">
        <is>
          <t>2027-02-01</t>
        </is>
      </c>
      <c r="B30">
        <v>1</v>
      </c>
      <c r="C30" t="inlineStr">
        <is>
          <t>phase_1_user_growth</t>
        </is>
      </c>
      <c r="D30">
        <f>ROUND(MAX(100,I30*J30*K30),0)</f>
        <v>1974</v>
      </c>
      <c r="E30">
        <f>MAX(0,F30-D30)</f>
        <v>1280</v>
      </c>
      <c r="F30">
        <f>ROUND(SUM($Z$19:$Z$54),0)</f>
        <v>3254</v>
      </c>
      <c r="G30" t="inlineStr">
        <is>
          <t/>
        </is>
      </c>
      <c r="H30">
        <f>IF($B30=1,$B$6,IF($B30=2,$B$7,$B$8))</f>
        <v>0.1</v>
      </c>
      <c r="I30">
        <f>I29*(1+H30)</f>
        <v>1997.18</v>
      </c>
      <c r="J30">
        <v>0.9952</v>
      </c>
      <c r="K30">
        <f>MAX(0.85,1+_xlfn.NORM.INV(RAND(),0,$B$15*0.35))</f>
        <v>0.993253</v>
      </c>
      <c r="L30" t="inlineStr">
        <is>
          <t/>
        </is>
      </c>
      <c r="M30">
        <v>11</v>
      </c>
      <c r="N30">
        <f>IF($M30=0,1,IF($M30=1,$B$11,IF($M30=2,$B$12,IF($M30=3,$B$13,$B$13*POWER($B$14,$M30-3))))</f>
        <v>0.0391871679718848</v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>
        <f>ROUND(D30*INDEX($N$19:$N$54,1),0)</f>
        <v>1974</v>
      </c>
      <c r="AA30">
        <f>ROUND(D30*INDEX($N$19:$N$54,2),0)</f>
        <v>494</v>
      </c>
      <c r="AB30">
        <f>ROUND(D30*INDEX($N$19:$N$54,3),0)</f>
        <v>237</v>
      </c>
      <c r="AC30">
        <f>ROUND(D30*INDEX($N$19:$N$54,4),0)</f>
        <v>99</v>
      </c>
      <c r="AD30">
        <f>ROUND(D30*INDEX($N$19:$N$54,5),0)</f>
        <v>96</v>
      </c>
      <c r="AE30">
        <f>ROUND(D30*INDEX($N$19:$N$54,6),0)</f>
        <v>93</v>
      </c>
      <c r="AF30">
        <f>ROUND(D30*INDEX($N$19:$N$54,7),0)</f>
        <v>90</v>
      </c>
      <c r="AG30">
        <f>ROUND(D30*INDEX($N$19:$N$54,8),0)</f>
        <v>87</v>
      </c>
      <c r="AH30">
        <f>ROUND(D30*INDEX($N$19:$N$54,9),0)</f>
        <v>85</v>
      </c>
      <c r="AI30">
        <f>ROUND(D30*INDEX($N$19:$N$54,10),0)</f>
        <v>82</v>
      </c>
      <c r="AJ30">
        <f>ROUND(D30*INDEX($N$19:$N$54,11),0)</f>
        <v>80</v>
      </c>
      <c r="AK30">
        <f>ROUND(D30*INDEX($N$19:$N$54,12),0)</f>
        <v>77</v>
      </c>
      <c r="AL30">
        <f>ROUND(D30*INDEX($N$19:$N$54,13),0)</f>
        <v>75</v>
      </c>
      <c r="AM30">
        <f>ROUND(D30*INDEX($N$19:$N$54,14),0)</f>
        <v>73</v>
      </c>
      <c r="AN30">
        <f>ROUND(D30*INDEX($N$19:$N$54,15),0)</f>
        <v>71</v>
      </c>
      <c r="AO30">
        <f>ROUND(D30*INDEX($N$19:$N$54,16),0)</f>
        <v>68</v>
      </c>
      <c r="AP30">
        <f>ROUND(D30*INDEX($N$19:$N$54,17),0)</f>
        <v>66</v>
      </c>
      <c r="AQ30">
        <f>ROUND(D30*INDEX($N$19:$N$54,18),0)</f>
        <v>64</v>
      </c>
      <c r="AR30">
        <f>ROUND(D30*INDEX($N$19:$N$54,19),0)</f>
        <v>63</v>
      </c>
      <c r="AS30">
        <f>ROUND(D30*INDEX($N$19:$N$54,20),0)</f>
        <v>61</v>
      </c>
      <c r="AT30">
        <f>ROUND(D30*INDEX($N$19:$N$54,21),0)</f>
        <v>59</v>
      </c>
      <c r="AU30">
        <f>ROUND(D30*INDEX($N$19:$N$54,22),0)</f>
        <v>57</v>
      </c>
      <c r="AV30">
        <f>ROUND(D30*INDEX($N$19:$N$54,23),0)</f>
        <v>55</v>
      </c>
      <c r="AW30">
        <f>ROUND(D30*INDEX($N$19:$N$54,24),0)</f>
        <v>54</v>
      </c>
      <c r="AX30">
        <f>ROUND(D30*INDEX($N$19:$N$54,25),0)</f>
        <v>52</v>
      </c>
    </row>
    <row r="31">
      <c r="A31" t="inlineStr">
        <is>
          <t>2027-03-01</t>
        </is>
      </c>
      <c r="B31">
        <v>2</v>
      </c>
      <c r="C31" t="inlineStr">
        <is>
          <t>phase_2_marketplace_activation</t>
        </is>
      </c>
      <c r="D31">
        <f>ROUND(MAX(100,I31*J31*K31),0)</f>
        <v>1725</v>
      </c>
      <c r="E31">
        <f>MAX(0,F31-D31)</f>
        <v>1283</v>
      </c>
      <c r="F31">
        <f>ROUND(SUM($AA$19:$AA$54),0)</f>
        <v>3008</v>
      </c>
      <c r="G31" t="inlineStr">
        <is>
          <t/>
        </is>
      </c>
      <c r="H31">
        <f>IF($B31=1,$B$6,IF($B31=2,$B$7,$B$8))</f>
        <v>0.05</v>
      </c>
      <c r="I31">
        <f>I30*(1+H31)</f>
        <v>2097.04</v>
      </c>
      <c r="J31">
        <v>0.852079</v>
      </c>
      <c r="K31">
        <f>MAX(0.85,1+_xlfn.NORM.INV(RAND(),0,$B$15*0.35))</f>
        <v>0.965491</v>
      </c>
      <c r="L31" t="inlineStr">
        <is>
          <t/>
        </is>
      </c>
      <c r="M31">
        <v>12</v>
      </c>
      <c r="N31">
        <f>IF($M31=0,1,IF($M31=1,$B$11,IF($M31=2,$B$12,IF($M31=3,$B$13,$B$13*POWER($B$14,$M31-3))))</f>
        <v>0.0380115529327283</v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>
        <f>ROUND(D31*INDEX($N$19:$N$54,1),0)</f>
        <v>1725</v>
      </c>
      <c r="AB31">
        <f>ROUND(D31*INDEX($N$19:$N$54,2),0)</f>
        <v>431</v>
      </c>
      <c r="AC31">
        <f>ROUND(D31*INDEX($N$19:$N$54,3),0)</f>
        <v>207</v>
      </c>
      <c r="AD31">
        <f>ROUND(D31*INDEX($N$19:$N$54,4),0)</f>
        <v>86</v>
      </c>
      <c r="AE31">
        <f>ROUND(D31*INDEX($N$19:$N$54,5),0)</f>
        <v>84</v>
      </c>
      <c r="AF31">
        <f>ROUND(D31*INDEX($N$19:$N$54,6),0)</f>
        <v>81</v>
      </c>
      <c r="AG31">
        <f>ROUND(D31*INDEX($N$19:$N$54,7),0)</f>
        <v>79</v>
      </c>
      <c r="AH31">
        <f>ROUND(D31*INDEX($N$19:$N$54,8),0)</f>
        <v>76</v>
      </c>
      <c r="AI31">
        <f>ROUND(D31*INDEX($N$19:$N$54,9),0)</f>
        <v>74</v>
      </c>
      <c r="AJ31">
        <f>ROUND(D31*INDEX($N$19:$N$54,10),0)</f>
        <v>72</v>
      </c>
      <c r="AK31">
        <f>ROUND(D31*INDEX($N$19:$N$54,11),0)</f>
        <v>70</v>
      </c>
      <c r="AL31">
        <f>ROUND(D31*INDEX($N$19:$N$54,12),0)</f>
        <v>68</v>
      </c>
      <c r="AM31">
        <f>ROUND(D31*INDEX($N$19:$N$54,13),0)</f>
        <v>66</v>
      </c>
      <c r="AN31">
        <f>ROUND(D31*INDEX($N$19:$N$54,14),0)</f>
        <v>64</v>
      </c>
      <c r="AO31">
        <f>ROUND(D31*INDEX($N$19:$N$54,15),0)</f>
        <v>62</v>
      </c>
      <c r="AP31">
        <f>ROUND(D31*INDEX($N$19:$N$54,16),0)</f>
        <v>60</v>
      </c>
      <c r="AQ31">
        <f>ROUND(D31*INDEX($N$19:$N$54,17),0)</f>
        <v>58</v>
      </c>
      <c r="AR31">
        <f>ROUND(D31*INDEX($N$19:$N$54,18),0)</f>
        <v>56</v>
      </c>
      <c r="AS31">
        <f>ROUND(D31*INDEX($N$19:$N$54,19),0)</f>
        <v>55</v>
      </c>
      <c r="AT31">
        <f>ROUND(D31*INDEX($N$19:$N$54,20),0)</f>
        <v>53</v>
      </c>
      <c r="AU31">
        <f>ROUND(D31*INDEX($N$19:$N$54,21),0)</f>
        <v>51</v>
      </c>
      <c r="AV31">
        <f>ROUND(D31*INDEX($N$19:$N$54,22),0)</f>
        <v>50</v>
      </c>
      <c r="AW31">
        <f>ROUND(D31*INDEX($N$19:$N$54,23),0)</f>
        <v>48</v>
      </c>
      <c r="AX31">
        <f>ROUND(D31*INDEX($N$19:$N$54,24),0)</f>
        <v>47</v>
      </c>
    </row>
    <row r="32">
      <c r="A32" t="inlineStr">
        <is>
          <t>2027-04-01</t>
        </is>
      </c>
      <c r="B32">
        <v>2</v>
      </c>
      <c r="C32" t="inlineStr">
        <is>
          <t>phase_2_marketplace_activation</t>
        </is>
      </c>
      <c r="D32">
        <f>ROUND(MAX(100,I32*J32*K32),0)</f>
        <v>1806</v>
      </c>
      <c r="E32">
        <f>MAX(0,F32-D32)</f>
        <v>1338</v>
      </c>
      <c r="F32">
        <f>ROUND(SUM($AB$19:$AB$54),0)</f>
        <v>3144</v>
      </c>
      <c r="G32" t="inlineStr">
        <is>
          <t/>
        </is>
      </c>
      <c r="H32">
        <f>IF($B32=1,$B$6,IF($B32=2,$B$7,$B$8))</f>
        <v>0.05</v>
      </c>
      <c r="I32">
        <f>I31*(1+H32)</f>
        <v>2201.89</v>
      </c>
      <c r="J32">
        <v>0.843513</v>
      </c>
      <c r="K32">
        <f>MAX(0.85,1+_xlfn.NORM.INV(RAND(),0,$B$15*0.35))</f>
        <v>0.972386</v>
      </c>
      <c r="L32" t="inlineStr">
        <is>
          <t/>
        </is>
      </c>
      <c r="M32">
        <v>13</v>
      </c>
      <c r="N32">
        <f>IF($M32=0,1,IF($M32=1,$B$11,IF($M32=2,$B$12,IF($M32=3,$B$13,$B$13*POWER($B$14,$M32-3))))</f>
        <v>0.0368712063447464</v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>
        <f>ROUND(D32*INDEX($N$19:$N$54,1),0)</f>
        <v>1806</v>
      </c>
      <c r="AC32">
        <f>ROUND(D32*INDEX($N$19:$N$54,2),0)</f>
        <v>452</v>
      </c>
      <c r="AD32">
        <f>ROUND(D32*INDEX($N$19:$N$54,3),0)</f>
        <v>217</v>
      </c>
      <c r="AE32">
        <f>ROUND(D32*INDEX($N$19:$N$54,4),0)</f>
        <v>90</v>
      </c>
      <c r="AF32">
        <f>ROUND(D32*INDEX($N$19:$N$54,5),0)</f>
        <v>88</v>
      </c>
      <c r="AG32">
        <f>ROUND(D32*INDEX($N$19:$N$54,6),0)</f>
        <v>85</v>
      </c>
      <c r="AH32">
        <f>ROUND(D32*INDEX($N$19:$N$54,7),0)</f>
        <v>82</v>
      </c>
      <c r="AI32">
        <f>ROUND(D32*INDEX($N$19:$N$54,8),0)</f>
        <v>80</v>
      </c>
      <c r="AJ32">
        <f>ROUND(D32*INDEX($N$19:$N$54,9),0)</f>
        <v>78</v>
      </c>
      <c r="AK32">
        <f>ROUND(D32*INDEX($N$19:$N$54,10),0)</f>
        <v>75</v>
      </c>
      <c r="AL32">
        <f>ROUND(D32*INDEX($N$19:$N$54,11),0)</f>
        <v>73</v>
      </c>
      <c r="AM32">
        <f>ROUND(D32*INDEX($N$19:$N$54,12),0)</f>
        <v>71</v>
      </c>
      <c r="AN32">
        <f>ROUND(D32*INDEX($N$19:$N$54,13),0)</f>
        <v>69</v>
      </c>
      <c r="AO32">
        <f>ROUND(D32*INDEX($N$19:$N$54,14),0)</f>
        <v>67</v>
      </c>
      <c r="AP32">
        <f>ROUND(D32*INDEX($N$19:$N$54,15),0)</f>
        <v>65</v>
      </c>
      <c r="AQ32">
        <f>ROUND(D32*INDEX($N$19:$N$54,16),0)</f>
        <v>63</v>
      </c>
      <c r="AR32">
        <f>ROUND(D32*INDEX($N$19:$N$54,17),0)</f>
        <v>61</v>
      </c>
      <c r="AS32">
        <f>ROUND(D32*INDEX($N$19:$N$54,18),0)</f>
        <v>59</v>
      </c>
      <c r="AT32">
        <f>ROUND(D32*INDEX($N$19:$N$54,19),0)</f>
        <v>57</v>
      </c>
      <c r="AU32">
        <f>ROUND(D32*INDEX($N$19:$N$54,20),0)</f>
        <v>55</v>
      </c>
      <c r="AV32">
        <f>ROUND(D32*INDEX($N$19:$N$54,21),0)</f>
        <v>54</v>
      </c>
      <c r="AW32">
        <f>ROUND(D32*INDEX($N$19:$N$54,22),0)</f>
        <v>52</v>
      </c>
      <c r="AX32">
        <f>ROUND(D32*INDEX($N$19:$N$54,23),0)</f>
        <v>51</v>
      </c>
    </row>
    <row r="33">
      <c r="A33" t="inlineStr">
        <is>
          <t>2027-05-01</t>
        </is>
      </c>
      <c r="B33">
        <v>2</v>
      </c>
      <c r="C33" t="inlineStr">
        <is>
          <t>phase_2_marketplace_activation</t>
        </is>
      </c>
      <c r="D33">
        <f>ROUND(MAX(100,I33*J33*K33),0)</f>
        <v>2329</v>
      </c>
      <c r="E33">
        <f>MAX(0,F33-D33)</f>
        <v>1406</v>
      </c>
      <c r="F33">
        <f>ROUND(SUM($AC$19:$AC$54),0)</f>
        <v>3735</v>
      </c>
      <c r="G33" t="inlineStr">
        <is>
          <t/>
        </is>
      </c>
      <c r="H33">
        <f>IF($B33=1,$B$6,IF($B33=2,$B$7,$B$8))</f>
        <v>0.05</v>
      </c>
      <c r="I33">
        <f>I32*(1+H33)</f>
        <v>2311.99</v>
      </c>
      <c r="J33">
        <v>1.01307</v>
      </c>
      <c r="K33">
        <f>MAX(0.85,1+_xlfn.NORM.INV(RAND(),0,$B$15*0.35))</f>
        <v>0.994418</v>
      </c>
      <c r="L33" t="inlineStr">
        <is>
          <t/>
        </is>
      </c>
      <c r="M33">
        <v>14</v>
      </c>
      <c r="N33">
        <f>IF($M33=0,1,IF($M33=1,$B$11,IF($M33=2,$B$12,IF($M33=3,$B$13,$B$13*POWER($B$14,$M33-3))))</f>
        <v>0.035765070154404</v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>
        <f>ROUND(D33*INDEX($N$19:$N$54,1),0)</f>
        <v>2329</v>
      </c>
      <c r="AD33">
        <f>ROUND(D33*INDEX($N$19:$N$54,2),0)</f>
        <v>582</v>
      </c>
      <c r="AE33">
        <f>ROUND(D33*INDEX($N$19:$N$54,3),0)</f>
        <v>279</v>
      </c>
      <c r="AF33">
        <f>ROUND(D33*INDEX($N$19:$N$54,4),0)</f>
        <v>116</v>
      </c>
      <c r="AG33">
        <f>ROUND(D33*INDEX($N$19:$N$54,5),0)</f>
        <v>113</v>
      </c>
      <c r="AH33">
        <f>ROUND(D33*INDEX($N$19:$N$54,6),0)</f>
        <v>110</v>
      </c>
      <c r="AI33">
        <f>ROUND(D33*INDEX($N$19:$N$54,7),0)</f>
        <v>106</v>
      </c>
      <c r="AJ33">
        <f>ROUND(D33*INDEX($N$19:$N$54,8),0)</f>
        <v>103</v>
      </c>
      <c r="AK33">
        <f>ROUND(D33*INDEX($N$19:$N$54,9),0)</f>
        <v>100</v>
      </c>
      <c r="AL33">
        <f>ROUND(D33*INDEX($N$19:$N$54,10),0)</f>
        <v>97</v>
      </c>
      <c r="AM33">
        <f>ROUND(D33*INDEX($N$19:$N$54,11),0)</f>
        <v>94</v>
      </c>
      <c r="AN33">
        <f>ROUND(D33*INDEX($N$19:$N$54,12),0)</f>
        <v>91</v>
      </c>
      <c r="AO33">
        <f>ROUND(D33*INDEX($N$19:$N$54,13),0)</f>
        <v>89</v>
      </c>
      <c r="AP33">
        <f>ROUND(D33*INDEX($N$19:$N$54,14),0)</f>
        <v>86</v>
      </c>
      <c r="AQ33">
        <f>ROUND(D33*INDEX($N$19:$N$54,15),0)</f>
        <v>83</v>
      </c>
      <c r="AR33">
        <f>ROUND(D33*INDEX($N$19:$N$54,16),0)</f>
        <v>81</v>
      </c>
      <c r="AS33">
        <f>ROUND(D33*INDEX($N$19:$N$54,17),0)</f>
        <v>78</v>
      </c>
      <c r="AT33">
        <f>ROUND(D33*INDEX($N$19:$N$54,18),0)</f>
        <v>76</v>
      </c>
      <c r="AU33">
        <f>ROUND(D33*INDEX($N$19:$N$54,19),0)</f>
        <v>74</v>
      </c>
      <c r="AV33">
        <f>ROUND(D33*INDEX($N$19:$N$54,20),0)</f>
        <v>72</v>
      </c>
      <c r="AW33">
        <f>ROUND(D33*INDEX($N$19:$N$54,21),0)</f>
        <v>69</v>
      </c>
      <c r="AX33">
        <f>ROUND(D33*INDEX($N$19:$N$54,22),0)</f>
        <v>67</v>
      </c>
    </row>
    <row r="34">
      <c r="A34" t="inlineStr">
        <is>
          <t>2027-06-01</t>
        </is>
      </c>
      <c r="B34">
        <v>2</v>
      </c>
      <c r="C34" t="inlineStr">
        <is>
          <t>phase_2_marketplace_activation</t>
        </is>
      </c>
      <c r="D34">
        <f>ROUND(MAX(100,I34*J34*K34),0)</f>
        <v>2186</v>
      </c>
      <c r="E34">
        <f>MAX(0,F34-D34)</f>
        <v>1610</v>
      </c>
      <c r="F34">
        <f>ROUND(SUM($AD$19:$AD$54),0)</f>
        <v>3796</v>
      </c>
      <c r="G34" t="inlineStr">
        <is>
          <t/>
        </is>
      </c>
      <c r="H34">
        <f>IF($B34=1,$B$6,IF($B34=2,$B$7,$B$8))</f>
        <v>0.05</v>
      </c>
      <c r="I34">
        <f>I33*(1+H34)</f>
        <v>2427.59</v>
      </c>
      <c r="J34">
        <v>0.906254</v>
      </c>
      <c r="K34">
        <f>MAX(0.85,1+_xlfn.NORM.INV(RAND(),0,$B$15*0.35))</f>
        <v>0.993475</v>
      </c>
      <c r="L34" t="inlineStr">
        <is>
          <t/>
        </is>
      </c>
      <c r="M34">
        <v>15</v>
      </c>
      <c r="N34">
        <f>IF($M34=0,1,IF($M34=1,$B$11,IF($M34=2,$B$12,IF($M34=3,$B$13,$B$13*POWER($B$14,$M34-3))))</f>
        <v>0.0346921180497719</v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>
        <f>ROUND(D34*INDEX($N$19:$N$54,1),0)</f>
        <v>2186</v>
      </c>
      <c r="AE34">
        <f>ROUND(D34*INDEX($N$19:$N$54,2),0)</f>
        <v>546</v>
      </c>
      <c r="AF34">
        <f>ROUND(D34*INDEX($N$19:$N$54,3),0)</f>
        <v>262</v>
      </c>
      <c r="AG34">
        <f>ROUND(D34*INDEX($N$19:$N$54,4),0)</f>
        <v>109</v>
      </c>
      <c r="AH34">
        <f>ROUND(D34*INDEX($N$19:$N$54,5),0)</f>
        <v>106</v>
      </c>
      <c r="AI34">
        <f>ROUND(D34*INDEX($N$19:$N$54,6),0)</f>
        <v>103</v>
      </c>
      <c r="AJ34">
        <f>ROUND(D34*INDEX($N$19:$N$54,7),0)</f>
        <v>100</v>
      </c>
      <c r="AK34">
        <f>ROUND(D34*INDEX($N$19:$N$54,8),0)</f>
        <v>97</v>
      </c>
      <c r="AL34">
        <f>ROUND(D34*INDEX($N$19:$N$54,9),0)</f>
        <v>94</v>
      </c>
      <c r="AM34">
        <f>ROUND(D34*INDEX($N$19:$N$54,10),0)</f>
        <v>91</v>
      </c>
      <c r="AN34">
        <f>ROUND(D34*INDEX($N$19:$N$54,11),0)</f>
        <v>88</v>
      </c>
      <c r="AO34">
        <f>ROUND(D34*INDEX($N$19:$N$54,12),0)</f>
        <v>86</v>
      </c>
      <c r="AP34">
        <f>ROUND(D34*INDEX($N$19:$N$54,13),0)</f>
        <v>83</v>
      </c>
      <c r="AQ34">
        <f>ROUND(D34*INDEX($N$19:$N$54,14),0)</f>
        <v>81</v>
      </c>
      <c r="AR34">
        <f>ROUND(D34*INDEX($N$19:$N$54,15),0)</f>
        <v>78</v>
      </c>
      <c r="AS34">
        <f>ROUND(D34*INDEX($N$19:$N$54,16),0)</f>
        <v>76</v>
      </c>
      <c r="AT34">
        <f>ROUND(D34*INDEX($N$19:$N$54,17),0)</f>
        <v>74</v>
      </c>
      <c r="AU34">
        <f>ROUND(D34*INDEX($N$19:$N$54,18),0)</f>
        <v>71</v>
      </c>
      <c r="AV34">
        <f>ROUND(D34*INDEX($N$19:$N$54,19),0)</f>
        <v>69</v>
      </c>
      <c r="AW34">
        <f>ROUND(D34*INDEX($N$19:$N$54,20),0)</f>
        <v>67</v>
      </c>
      <c r="AX34">
        <f>ROUND(D34*INDEX($N$19:$N$54,21),0)</f>
        <v>65</v>
      </c>
    </row>
    <row r="35">
      <c r="A35" t="inlineStr">
        <is>
          <t>2027-07-01</t>
        </is>
      </c>
      <c r="B35">
        <v>2</v>
      </c>
      <c r="C35" t="inlineStr">
        <is>
          <t>phase_2_marketplace_activation</t>
        </is>
      </c>
      <c r="D35">
        <f>ROUND(MAX(100,I35*J35*K35),0)</f>
        <v>2343</v>
      </c>
      <c r="E35">
        <f>MAX(0,F35-D35)</f>
        <v>1703</v>
      </c>
      <c r="F35">
        <f>ROUND(SUM($AE$19:$AE$54),0)</f>
        <v>4046</v>
      </c>
      <c r="G35" t="inlineStr">
        <is>
          <t/>
        </is>
      </c>
      <c r="H35">
        <f>IF($B35=1,$B$6,IF($B35=2,$B$7,$B$8))</f>
        <v>0.05</v>
      </c>
      <c r="I35">
        <f>I34*(1+H35)</f>
        <v>2548.97</v>
      </c>
      <c r="J35">
        <v>0.891844</v>
      </c>
      <c r="K35">
        <f>MAX(0.85,1+_xlfn.NORM.INV(RAND(),0,$B$15*0.35))</f>
        <v>1.030481</v>
      </c>
      <c r="L35" t="inlineStr">
        <is>
          <t/>
        </is>
      </c>
      <c r="M35">
        <v>16</v>
      </c>
      <c r="N35">
        <f>IF($M35=0,1,IF($M35=1,$B$11,IF($M35=2,$B$12,IF($M35=3,$B$13,$B$13*POWER($B$14,$M35-3))))</f>
        <v>0.0336513545082787</v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>
        <f>ROUND(D35*INDEX($N$19:$N$54,1),0)</f>
        <v>2343</v>
      </c>
      <c r="AF35">
        <f>ROUND(D35*INDEX($N$19:$N$54,2),0)</f>
        <v>586</v>
      </c>
      <c r="AG35">
        <f>ROUND(D35*INDEX($N$19:$N$54,3),0)</f>
        <v>281</v>
      </c>
      <c r="AH35">
        <f>ROUND(D35*INDEX($N$19:$N$54,4),0)</f>
        <v>117</v>
      </c>
      <c r="AI35">
        <f>ROUND(D35*INDEX($N$19:$N$54,5),0)</f>
        <v>114</v>
      </c>
      <c r="AJ35">
        <f>ROUND(D35*INDEX($N$19:$N$54,6),0)</f>
        <v>110</v>
      </c>
      <c r="AK35">
        <f>ROUND(D35*INDEX($N$19:$N$54,7),0)</f>
        <v>107</v>
      </c>
      <c r="AL35">
        <f>ROUND(D35*INDEX($N$19:$N$54,8),0)</f>
        <v>104</v>
      </c>
      <c r="AM35">
        <f>ROUND(D35*INDEX($N$19:$N$54,9),0)</f>
        <v>101</v>
      </c>
      <c r="AN35">
        <f>ROUND(D35*INDEX($N$19:$N$54,10),0)</f>
        <v>98</v>
      </c>
      <c r="AO35">
        <f>ROUND(D35*INDEX($N$19:$N$54,11),0)</f>
        <v>95</v>
      </c>
      <c r="AP35">
        <f>ROUND(D35*INDEX($N$19:$N$54,12),0)</f>
        <v>92</v>
      </c>
      <c r="AQ35">
        <f>ROUND(D35*INDEX($N$19:$N$54,13),0)</f>
        <v>89</v>
      </c>
      <c r="AR35">
        <f>ROUND(D35*INDEX($N$19:$N$54,14),0)</f>
        <v>86</v>
      </c>
      <c r="AS35">
        <f>ROUND(D35*INDEX($N$19:$N$54,15),0)</f>
        <v>84</v>
      </c>
      <c r="AT35">
        <f>ROUND(D35*INDEX($N$19:$N$54,16),0)</f>
        <v>81</v>
      </c>
      <c r="AU35">
        <f>ROUND(D35*INDEX($N$19:$N$54,17),0)</f>
        <v>79</v>
      </c>
      <c r="AV35">
        <f>ROUND(D35*INDEX($N$19:$N$54,18),0)</f>
        <v>76</v>
      </c>
      <c r="AW35">
        <f>ROUND(D35*INDEX($N$19:$N$54,19),0)</f>
        <v>74</v>
      </c>
      <c r="AX35">
        <f>ROUND(D35*INDEX($N$19:$N$54,20),0)</f>
        <v>72</v>
      </c>
    </row>
    <row r="36">
      <c r="A36" t="inlineStr">
        <is>
          <t>2027-08-01</t>
        </is>
      </c>
      <c r="B36">
        <v>2</v>
      </c>
      <c r="C36" t="inlineStr">
        <is>
          <t>phase_2_marketplace_activation</t>
        </is>
      </c>
      <c r="D36">
        <f>ROUND(MAX(100,I36*J36*K36),0)</f>
        <v>2381</v>
      </c>
      <c r="E36">
        <f>MAX(0,F36-D36)</f>
        <v>1815</v>
      </c>
      <c r="F36">
        <f>ROUND(SUM($AF$19:$AF$54),0)</f>
        <v>4196</v>
      </c>
      <c r="G36" t="inlineStr">
        <is>
          <t/>
        </is>
      </c>
      <c r="H36">
        <f>IF($B36=1,$B$6,IF($B36=2,$B$7,$B$8))</f>
        <v>0.05</v>
      </c>
      <c r="I36">
        <f>I35*(1+H36)</f>
        <v>2676.41</v>
      </c>
      <c r="J36">
        <v>0.921643</v>
      </c>
      <c r="K36">
        <f>MAX(0.85,1+_xlfn.NORM.INV(RAND(),0,$B$15*0.35))</f>
        <v>0.965328</v>
      </c>
      <c r="L36" t="inlineStr">
        <is>
          <t/>
        </is>
      </c>
      <c r="M36">
        <v>17</v>
      </c>
      <c r="N36">
        <f>IF($M36=0,1,IF($M36=1,$B$11,IF($M36=2,$B$12,IF($M36=3,$B$13,$B$13*POWER($B$14,$M36-3))))</f>
        <v>0.0326418138730304</v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>
        <f>ROUND(D36*INDEX($N$19:$N$54,1),0)</f>
        <v>2381</v>
      </c>
      <c r="AG36">
        <f>ROUND(D36*INDEX($N$19:$N$54,2),0)</f>
        <v>595</v>
      </c>
      <c r="AH36">
        <f>ROUND(D36*INDEX($N$19:$N$54,3),0)</f>
        <v>286</v>
      </c>
      <c r="AI36">
        <f>ROUND(D36*INDEX($N$19:$N$54,4),0)</f>
        <v>119</v>
      </c>
      <c r="AJ36">
        <f>ROUND(D36*INDEX($N$19:$N$54,5),0)</f>
        <v>115</v>
      </c>
      <c r="AK36">
        <f>ROUND(D36*INDEX($N$19:$N$54,6),0)</f>
        <v>112</v>
      </c>
      <c r="AL36">
        <f>ROUND(D36*INDEX($N$19:$N$54,7),0)</f>
        <v>109</v>
      </c>
      <c r="AM36">
        <f>ROUND(D36*INDEX($N$19:$N$54,8),0)</f>
        <v>105</v>
      </c>
      <c r="AN36">
        <f>ROUND(D36*INDEX($N$19:$N$54,9),0)</f>
        <v>102</v>
      </c>
      <c r="AO36">
        <f>ROUND(D36*INDEX($N$19:$N$54,10),0)</f>
        <v>99</v>
      </c>
      <c r="AP36">
        <f>ROUND(D36*INDEX($N$19:$N$54,11),0)</f>
        <v>96</v>
      </c>
      <c r="AQ36">
        <f>ROUND(D36*INDEX($N$19:$N$54,12),0)</f>
        <v>93</v>
      </c>
      <c r="AR36">
        <f>ROUND(D36*INDEX($N$19:$N$54,13),0)</f>
        <v>91</v>
      </c>
      <c r="AS36">
        <f>ROUND(D36*INDEX($N$19:$N$54,14),0)</f>
        <v>88</v>
      </c>
      <c r="AT36">
        <f>ROUND(D36*INDEX($N$19:$N$54,15),0)</f>
        <v>85</v>
      </c>
      <c r="AU36">
        <f>ROUND(D36*INDEX($N$19:$N$54,16),0)</f>
        <v>83</v>
      </c>
      <c r="AV36">
        <f>ROUND(D36*INDEX($N$19:$N$54,17),0)</f>
        <v>80</v>
      </c>
      <c r="AW36">
        <f>ROUND(D36*INDEX($N$19:$N$54,18),0)</f>
        <v>78</v>
      </c>
      <c r="AX36">
        <f>ROUND(D36*INDEX($N$19:$N$54,19),0)</f>
        <v>75</v>
      </c>
    </row>
    <row r="37">
      <c r="A37" t="inlineStr">
        <is>
          <t>2027-09-01</t>
        </is>
      </c>
      <c r="B37">
        <v>2</v>
      </c>
      <c r="C37" t="inlineStr">
        <is>
          <t>phase_2_marketplace_activation</t>
        </is>
      </c>
      <c r="D37">
        <f>ROUND(MAX(100,I37*J37*K37),0)</f>
        <v>2478</v>
      </c>
      <c r="E37">
        <f>MAX(0,F37-D37)</f>
        <v>1923</v>
      </c>
      <c r="F37">
        <f>ROUND(SUM($AG$19:$AG$54),0)</f>
        <v>4401</v>
      </c>
      <c r="G37" t="inlineStr">
        <is>
          <t/>
        </is>
      </c>
      <c r="H37">
        <f>IF($B37=1,$B$6,IF($B37=2,$B$7,$B$8))</f>
        <v>0.05</v>
      </c>
      <c r="I37">
        <f>I36*(1+H37)</f>
        <v>2810.24</v>
      </c>
      <c r="J37">
        <v>0.885988</v>
      </c>
      <c r="K37">
        <f>MAX(0.85,1+_xlfn.NORM.INV(RAND(),0,$B$15*0.35))</f>
        <v>0.995076</v>
      </c>
      <c r="L37" t="inlineStr">
        <is>
          <t/>
        </is>
      </c>
      <c r="M37">
        <v>18</v>
      </c>
      <c r="N37">
        <f>IF($M37=0,1,IF($M37=1,$B$11,IF($M37=2,$B$12,IF($M37=3,$B$13,$B$13*POWER($B$14,$M37-3))))</f>
        <v>0.0316625594568395</v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>
        <f>ROUND(D37*INDEX($N$19:$N$54,1),0)</f>
        <v>2478</v>
      </c>
      <c r="AH37">
        <f>ROUND(D37*INDEX($N$19:$N$54,2),0)</f>
        <v>620</v>
      </c>
      <c r="AI37">
        <f>ROUND(D37*INDEX($N$19:$N$54,3),0)</f>
        <v>297</v>
      </c>
      <c r="AJ37">
        <f>ROUND(D37*INDEX($N$19:$N$54,4),0)</f>
        <v>124</v>
      </c>
      <c r="AK37">
        <f>ROUND(D37*INDEX($N$19:$N$54,5),0)</f>
        <v>120</v>
      </c>
      <c r="AL37">
        <f>ROUND(D37*INDEX($N$19:$N$54,6),0)</f>
        <v>117</v>
      </c>
      <c r="AM37">
        <f>ROUND(D37*INDEX($N$19:$N$54,7),0)</f>
        <v>113</v>
      </c>
      <c r="AN37">
        <f>ROUND(D37*INDEX($N$19:$N$54,8),0)</f>
        <v>110</v>
      </c>
      <c r="AO37">
        <f>ROUND(D37*INDEX($N$19:$N$54,9),0)</f>
        <v>106</v>
      </c>
      <c r="AP37">
        <f>ROUND(D37*INDEX($N$19:$N$54,10),0)</f>
        <v>103</v>
      </c>
      <c r="AQ37">
        <f>ROUND(D37*INDEX($N$19:$N$54,11),0)</f>
        <v>100</v>
      </c>
      <c r="AR37">
        <f>ROUND(D37*INDEX($N$19:$N$54,12),0)</f>
        <v>97</v>
      </c>
      <c r="AS37">
        <f>ROUND(D37*INDEX($N$19:$N$54,13),0)</f>
        <v>94</v>
      </c>
      <c r="AT37">
        <f>ROUND(D37*INDEX($N$19:$N$54,14),0)</f>
        <v>91</v>
      </c>
      <c r="AU37">
        <f>ROUND(D37*INDEX($N$19:$N$54,15),0)</f>
        <v>89</v>
      </c>
      <c r="AV37">
        <f>ROUND(D37*INDEX($N$19:$N$54,16),0)</f>
        <v>86</v>
      </c>
      <c r="AW37">
        <f>ROUND(D37*INDEX($N$19:$N$54,17),0)</f>
        <v>83</v>
      </c>
      <c r="AX37">
        <f>ROUND(D37*INDEX($N$19:$N$54,18),0)</f>
        <v>81</v>
      </c>
    </row>
    <row r="38">
      <c r="A38" t="inlineStr">
        <is>
          <t>2027-10-01</t>
        </is>
      </c>
      <c r="B38">
        <v>2</v>
      </c>
      <c r="C38" t="inlineStr">
        <is>
          <t>phase_2_marketplace_activation</t>
        </is>
      </c>
      <c r="D38">
        <f>ROUND(MAX(100,I38*J38*K38),0)</f>
        <v>2739</v>
      </c>
      <c r="E38">
        <f>MAX(0,F38-D38)</f>
        <v>2039</v>
      </c>
      <c r="F38">
        <f>ROUND(SUM($AH$19:$AH$54),0)</f>
        <v>4778</v>
      </c>
      <c r="G38" t="inlineStr">
        <is>
          <t/>
        </is>
      </c>
      <c r="H38">
        <f>IF($B38=1,$B$6,IF($B38=2,$B$7,$B$8))</f>
        <v>0.05</v>
      </c>
      <c r="I38">
        <f>I37*(1+H38)</f>
        <v>2950.75</v>
      </c>
      <c r="J38">
        <v>0.911037</v>
      </c>
      <c r="K38">
        <f>MAX(0.85,1+_xlfn.NORM.INV(RAND(),0,$B$15*0.35))</f>
        <v>1.018879</v>
      </c>
      <c r="L38" t="inlineStr">
        <is>
          <t/>
        </is>
      </c>
      <c r="M38">
        <v>19</v>
      </c>
      <c r="N38">
        <f>IF($M38=0,1,IF($M38=1,$B$11,IF($M38=2,$B$12,IF($M38=3,$B$13,$B$13*POWER($B$14,$M38-3))))</f>
        <v>0.0307126826731343</v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>
        <f>ROUND(D38*INDEX($N$19:$N$54,1),0)</f>
        <v>2739</v>
      </c>
      <c r="AI38">
        <f>ROUND(D38*INDEX($N$19:$N$54,2),0)</f>
        <v>685</v>
      </c>
      <c r="AJ38">
        <f>ROUND(D38*INDEX($N$19:$N$54,3),0)</f>
        <v>329</v>
      </c>
      <c r="AK38">
        <f>ROUND(D38*INDEX($N$19:$N$54,4),0)</f>
        <v>137</v>
      </c>
      <c r="AL38">
        <f>ROUND(D38*INDEX($N$19:$N$54,5),0)</f>
        <v>133</v>
      </c>
      <c r="AM38">
        <f>ROUND(D38*INDEX($N$19:$N$54,6),0)</f>
        <v>129</v>
      </c>
      <c r="AN38">
        <f>ROUND(D38*INDEX($N$19:$N$54,7),0)</f>
        <v>125</v>
      </c>
      <c r="AO38">
        <f>ROUND(D38*INDEX($N$19:$N$54,8),0)</f>
        <v>121</v>
      </c>
      <c r="AP38">
        <f>ROUND(D38*INDEX($N$19:$N$54,9),0)</f>
        <v>118</v>
      </c>
      <c r="AQ38">
        <f>ROUND(D38*INDEX($N$19:$N$54,10),0)</f>
        <v>114</v>
      </c>
      <c r="AR38">
        <f>ROUND(D38*INDEX($N$19:$N$54,11),0)</f>
        <v>111</v>
      </c>
      <c r="AS38">
        <f>ROUND(D38*INDEX($N$19:$N$54,12),0)</f>
        <v>107</v>
      </c>
      <c r="AT38">
        <f>ROUND(D38*INDEX($N$19:$N$54,13),0)</f>
        <v>104</v>
      </c>
      <c r="AU38">
        <f>ROUND(D38*INDEX($N$19:$N$54,14),0)</f>
        <v>101</v>
      </c>
      <c r="AV38">
        <f>ROUND(D38*INDEX($N$19:$N$54,15),0)</f>
        <v>98</v>
      </c>
      <c r="AW38">
        <f>ROUND(D38*INDEX($N$19:$N$54,16),0)</f>
        <v>95</v>
      </c>
      <c r="AX38">
        <f>ROUND(D38*INDEX($N$19:$N$54,17),0)</f>
        <v>92</v>
      </c>
    </row>
    <row r="39">
      <c r="A39" t="inlineStr">
        <is>
          <t>2027-11-01</t>
        </is>
      </c>
      <c r="B39">
        <v>2</v>
      </c>
      <c r="C39" t="inlineStr">
        <is>
          <t>phase_2_marketplace_activation</t>
        </is>
      </c>
      <c r="D39">
        <f>ROUND(MAX(100,I39*J39*K39),0)</f>
        <v>4135</v>
      </c>
      <c r="E39">
        <f>MAX(0,F39-D39)</f>
        <v>2200</v>
      </c>
      <c r="F39">
        <f>ROUND(SUM($AI$19:$AI$54),0)</f>
        <v>6335</v>
      </c>
      <c r="G39" t="inlineStr">
        <is>
          <t/>
        </is>
      </c>
      <c r="H39">
        <f>IF($B39=1,$B$6,IF($B39=2,$B$7,$B$8))</f>
        <v>0.05</v>
      </c>
      <c r="I39">
        <f>I38*(1+H39)</f>
        <v>3098.28</v>
      </c>
      <c r="J39">
        <v>1.344002</v>
      </c>
      <c r="K39">
        <f>MAX(0.85,1+_xlfn.NORM.INV(RAND(),0,$B$15*0.35))</f>
        <v>0.993049</v>
      </c>
      <c r="L39" t="inlineStr">
        <is>
          <t/>
        </is>
      </c>
      <c r="M39">
        <v>20</v>
      </c>
      <c r="N39">
        <f>IF($M39=0,1,IF($M39=1,$B$11,IF($M39=2,$B$12,IF($M39=3,$B$13,$B$13*POWER($B$14,$M39-3))))</f>
        <v>0.0297913021929402</v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>
        <f>ROUND(D39*INDEX($N$19:$N$54,1),0)</f>
        <v>4135</v>
      </c>
      <c r="AJ39">
        <f>ROUND(D39*INDEX($N$19:$N$54,2),0)</f>
        <v>1034</v>
      </c>
      <c r="AK39">
        <f>ROUND(D39*INDEX($N$19:$N$54,3),0)</f>
        <v>496</v>
      </c>
      <c r="AL39">
        <f>ROUND(D39*INDEX($N$19:$N$54,4),0)</f>
        <v>207</v>
      </c>
      <c r="AM39">
        <f>ROUND(D39*INDEX($N$19:$N$54,5),0)</f>
        <v>201</v>
      </c>
      <c r="AN39">
        <f>ROUND(D39*INDEX($N$19:$N$54,6),0)</f>
        <v>195</v>
      </c>
      <c r="AO39">
        <f>ROUND(D39*INDEX($N$19:$N$54,7),0)</f>
        <v>189</v>
      </c>
      <c r="AP39">
        <f>ROUND(D39*INDEX($N$19:$N$54,8),0)</f>
        <v>183</v>
      </c>
      <c r="AQ39">
        <f>ROUND(D39*INDEX($N$19:$N$54,9),0)</f>
        <v>178</v>
      </c>
      <c r="AR39">
        <f>ROUND(D39*INDEX($N$19:$N$54,10),0)</f>
        <v>172</v>
      </c>
      <c r="AS39">
        <f>ROUND(D39*INDEX($N$19:$N$54,11),0)</f>
        <v>167</v>
      </c>
      <c r="AT39">
        <f>ROUND(D39*INDEX($N$19:$N$54,12),0)</f>
        <v>162</v>
      </c>
      <c r="AU39">
        <f>ROUND(D39*INDEX($N$19:$N$54,13),0)</f>
        <v>157</v>
      </c>
      <c r="AV39">
        <f>ROUND(D39*INDEX($N$19:$N$54,14),0)</f>
        <v>152</v>
      </c>
      <c r="AW39">
        <f>ROUND(D39*INDEX($N$19:$N$54,15),0)</f>
        <v>148</v>
      </c>
      <c r="AX39">
        <f>ROUND(D39*INDEX($N$19:$N$54,16),0)</f>
        <v>143</v>
      </c>
    </row>
    <row r="40">
      <c r="A40" t="inlineStr">
        <is>
          <t>2027-12-01</t>
        </is>
      </c>
      <c r="B40">
        <v>2</v>
      </c>
      <c r="C40" t="inlineStr">
        <is>
          <t>phase_2_marketplace_activation</t>
        </is>
      </c>
      <c r="D40">
        <f>ROUND(MAX(100,I40*J40*K40),0)</f>
        <v>8231</v>
      </c>
      <c r="E40">
        <f>MAX(0,F40-D40)</f>
        <v>2670</v>
      </c>
      <c r="F40">
        <f>ROUND(SUM($AJ$19:$AJ$54),0)</f>
        <v>10901</v>
      </c>
      <c r="G40" t="inlineStr">
        <is>
          <t/>
        </is>
      </c>
      <c r="H40">
        <f>IF($B40=1,$B$6,IF($B40=2,$B$7,$B$8))</f>
        <v>0.05</v>
      </c>
      <c r="I40">
        <f>I39*(1+H40)</f>
        <v>3253.2</v>
      </c>
      <c r="J40">
        <v>2.521434</v>
      </c>
      <c r="K40">
        <f>MAX(0.85,1+_xlfn.NORM.INV(RAND(),0,$B$15*0.35))</f>
        <v>1.003427</v>
      </c>
      <c r="L40" t="inlineStr">
        <is>
          <t/>
        </is>
      </c>
      <c r="M40">
        <v>21</v>
      </c>
      <c r="N40">
        <f>IF($M40=0,1,IF($M40=1,$B$11,IF($M40=2,$B$12,IF($M40=3,$B$13,$B$13*POWER($B$14,$M40-3))))</f>
        <v>0.028897563127152</v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>
        <f>ROUND(D40*INDEX($N$19:$N$54,1),0)</f>
        <v>8231</v>
      </c>
      <c r="AK40">
        <f>ROUND(D40*INDEX($N$19:$N$54,2),0)</f>
        <v>2058</v>
      </c>
      <c r="AL40">
        <f>ROUND(D40*INDEX($N$19:$N$54,3),0)</f>
        <v>988</v>
      </c>
      <c r="AM40">
        <f>ROUND(D40*INDEX($N$19:$N$54,4),0)</f>
        <v>412</v>
      </c>
      <c r="AN40">
        <f>ROUND(D40*INDEX($N$19:$N$54,5),0)</f>
        <v>399</v>
      </c>
      <c r="AO40">
        <f>ROUND(D40*INDEX($N$19:$N$54,6),0)</f>
        <v>387</v>
      </c>
      <c r="AP40">
        <f>ROUND(D40*INDEX($N$19:$N$54,7),0)</f>
        <v>376</v>
      </c>
      <c r="AQ40">
        <f>ROUND(D40*INDEX($N$19:$N$54,8),0)</f>
        <v>364</v>
      </c>
      <c r="AR40">
        <f>ROUND(D40*INDEX($N$19:$N$54,9),0)</f>
        <v>353</v>
      </c>
      <c r="AS40">
        <f>ROUND(D40*INDEX($N$19:$N$54,10),0)</f>
        <v>343</v>
      </c>
      <c r="AT40">
        <f>ROUND(D40*INDEX($N$19:$N$54,11),0)</f>
        <v>333</v>
      </c>
      <c r="AU40">
        <f>ROUND(D40*INDEX($N$19:$N$54,12),0)</f>
        <v>323</v>
      </c>
      <c r="AV40">
        <f>ROUND(D40*INDEX($N$19:$N$54,13),0)</f>
        <v>313</v>
      </c>
      <c r="AW40">
        <f>ROUND(D40*INDEX($N$19:$N$54,14),0)</f>
        <v>303</v>
      </c>
      <c r="AX40">
        <f>ROUND(D40*INDEX($N$19:$N$54,15),0)</f>
        <v>294</v>
      </c>
    </row>
    <row r="41">
      <c r="A41" t="inlineStr">
        <is>
          <t>2028-01-01</t>
        </is>
      </c>
      <c r="B41">
        <v>2</v>
      </c>
      <c r="C41" t="inlineStr">
        <is>
          <t>phase_2_marketplace_activation</t>
        </is>
      </c>
      <c r="D41">
        <f>ROUND(MAX(100,I41*J41*K41),0)</f>
        <v>2720</v>
      </c>
      <c r="E41">
        <f>MAX(0,F41-D41)</f>
        <v>3957</v>
      </c>
      <c r="F41">
        <f>ROUND(SUM($AK$19:$AK$54),0)</f>
        <v>6677</v>
      </c>
      <c r="G41" t="inlineStr">
        <is>
          <t/>
        </is>
      </c>
      <c r="H41">
        <f>IF($B41=1,$B$6,IF($B41=2,$B$7,$B$8))</f>
        <v>0.05</v>
      </c>
      <c r="I41">
        <f>I40*(1+H41)</f>
        <v>3415.86</v>
      </c>
      <c r="J41">
        <v>0.805962</v>
      </c>
      <c r="K41">
        <f>MAX(0.85,1+_xlfn.NORM.INV(RAND(),0,$B$15*0.35))</f>
        <v>0.988077</v>
      </c>
      <c r="L41" t="inlineStr">
        <is>
          <t/>
        </is>
      </c>
      <c r="M41">
        <v>22</v>
      </c>
      <c r="N41">
        <f>IF($M41=0,1,IF($M41=1,$B$11,IF($M41=2,$B$12,IF($M41=3,$B$13,$B$13*POWER($B$14,$M41-3))))</f>
        <v>0.0280306362333375</v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>
        <f>ROUND(D41*INDEX($N$19:$N$54,1),0)</f>
        <v>2720</v>
      </c>
      <c r="AL41">
        <f>ROUND(D41*INDEX($N$19:$N$54,2),0)</f>
        <v>680</v>
      </c>
      <c r="AM41">
        <f>ROUND(D41*INDEX($N$19:$N$54,3),0)</f>
        <v>326</v>
      </c>
      <c r="AN41">
        <f>ROUND(D41*INDEX($N$19:$N$54,4),0)</f>
        <v>136</v>
      </c>
      <c r="AO41">
        <f>ROUND(D41*INDEX($N$19:$N$54,5),0)</f>
        <v>132</v>
      </c>
      <c r="AP41">
        <f>ROUND(D41*INDEX($N$19:$N$54,6),0)</f>
        <v>128</v>
      </c>
      <c r="AQ41">
        <f>ROUND(D41*INDEX($N$19:$N$54,7),0)</f>
        <v>124</v>
      </c>
      <c r="AR41">
        <f>ROUND(D41*INDEX($N$19:$N$54,8),0)</f>
        <v>120</v>
      </c>
      <c r="AS41">
        <f>ROUND(D41*INDEX($N$19:$N$54,9),0)</f>
        <v>117</v>
      </c>
      <c r="AT41">
        <f>ROUND(D41*INDEX($N$19:$N$54,10),0)</f>
        <v>113</v>
      </c>
      <c r="AU41">
        <f>ROUND(D41*INDEX($N$19:$N$54,11),0)</f>
        <v>110</v>
      </c>
      <c r="AV41">
        <f>ROUND(D41*INDEX($N$19:$N$54,12),0)</f>
        <v>107</v>
      </c>
      <c r="AW41">
        <f>ROUND(D41*INDEX($N$19:$N$54,13),0)</f>
        <v>103</v>
      </c>
      <c r="AX41">
        <f>ROUND(D41*INDEX($N$19:$N$54,14),0)</f>
        <v>100</v>
      </c>
    </row>
    <row r="42">
      <c r="A42" t="inlineStr">
        <is>
          <t>2028-02-01</t>
        </is>
      </c>
      <c r="B42">
        <v>2</v>
      </c>
      <c r="C42" t="inlineStr">
        <is>
          <t>phase_2_marketplace_activation</t>
        </is>
      </c>
      <c r="D42">
        <f>ROUND(MAX(100,I42*J42*K42),0)</f>
        <v>3535</v>
      </c>
      <c r="E42">
        <f>MAX(0,F42-D42)</f>
        <v>3238</v>
      </c>
      <c r="F42">
        <f>ROUND(SUM($AL$19:$AL$54),0)</f>
        <v>6773</v>
      </c>
      <c r="G42" t="inlineStr">
        <is>
          <t/>
        </is>
      </c>
      <c r="H42">
        <f>IF($B42=1,$B$6,IF($B42=2,$B$7,$B$8))</f>
        <v>0.05</v>
      </c>
      <c r="I42">
        <f>I41*(1+H42)</f>
        <v>3586.65</v>
      </c>
      <c r="J42">
        <v>0.9952</v>
      </c>
      <c r="K42">
        <f>MAX(0.85,1+_xlfn.NORM.INV(RAND(),0,$B$15*0.35))</f>
        <v>0.99026</v>
      </c>
      <c r="L42" t="inlineStr">
        <is>
          <t/>
        </is>
      </c>
      <c r="M42">
        <v>23</v>
      </c>
      <c r="N42">
        <f>IF($M42=0,1,IF($M42=1,$B$11,IF($M42=2,$B$12,IF($M42=3,$B$13,$B$13*POWER($B$14,$M42-3))))</f>
        <v>0.0271897171463374</v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>
        <f>ROUND(D42*INDEX($N$19:$N$54,1),0)</f>
        <v>3535</v>
      </c>
      <c r="AM42">
        <f>ROUND(D42*INDEX($N$19:$N$54,2),0)</f>
        <v>884</v>
      </c>
      <c r="AN42">
        <f>ROUND(D42*INDEX($N$19:$N$54,3),0)</f>
        <v>424</v>
      </c>
      <c r="AO42">
        <f>ROUND(D42*INDEX($N$19:$N$54,4),0)</f>
        <v>177</v>
      </c>
      <c r="AP42">
        <f>ROUND(D42*INDEX($N$19:$N$54,5),0)</f>
        <v>171</v>
      </c>
      <c r="AQ42">
        <f>ROUND(D42*INDEX($N$19:$N$54,6),0)</f>
        <v>166</v>
      </c>
      <c r="AR42">
        <f>ROUND(D42*INDEX($N$19:$N$54,7),0)</f>
        <v>161</v>
      </c>
      <c r="AS42">
        <f>ROUND(D42*INDEX($N$19:$N$54,8),0)</f>
        <v>156</v>
      </c>
      <c r="AT42">
        <f>ROUND(D42*INDEX($N$19:$N$54,9),0)</f>
        <v>152</v>
      </c>
      <c r="AU42">
        <f>ROUND(D42*INDEX($N$19:$N$54,10),0)</f>
        <v>147</v>
      </c>
      <c r="AV42">
        <f>ROUND(D42*INDEX($N$19:$N$54,11),0)</f>
        <v>143</v>
      </c>
      <c r="AW42">
        <f>ROUND(D42*INDEX($N$19:$N$54,12),0)</f>
        <v>139</v>
      </c>
      <c r="AX42">
        <f>ROUND(D42*INDEX($N$19:$N$54,13),0)</f>
        <v>134</v>
      </c>
    </row>
    <row r="43">
      <c r="A43" t="inlineStr">
        <is>
          <t>2028-03-01</t>
        </is>
      </c>
      <c r="B43">
        <v>3</v>
      </c>
      <c r="C43" t="inlineStr">
        <is>
          <t>phase_3_projection</t>
        </is>
      </c>
      <c r="D43">
        <f>ROUND(MAX(100,I43*J43*K43),0)</f>
        <v>3174</v>
      </c>
      <c r="E43">
        <f>MAX(0,F43-D43)</f>
        <v>3144</v>
      </c>
      <c r="F43">
        <f>ROUND(SUM($AM$19:$AM$54),0)</f>
        <v>6318</v>
      </c>
      <c r="G43" t="inlineStr">
        <is>
          <t/>
        </is>
      </c>
      <c r="H43">
        <f>IF($B43=1,$B$6,IF($B43=2,$B$7,$B$8))</f>
        <v>0.03</v>
      </c>
      <c r="I43">
        <f>I42*(1+H43)</f>
        <v>3694.25</v>
      </c>
      <c r="J43">
        <v>0.852079</v>
      </c>
      <c r="K43">
        <f>MAX(0.85,1+_xlfn.NORM.INV(RAND(),0,$B$15*0.35))</f>
        <v>1.008368</v>
      </c>
      <c r="L43" t="inlineStr">
        <is>
          <t/>
        </is>
      </c>
      <c r="M43">
        <v>24</v>
      </c>
      <c r="N43">
        <f>IF($M43=0,1,IF($M43=1,$B$11,IF($M43=2,$B$12,IF($M43=3,$B$13,$B$13*POWER($B$14,$M43-3))))</f>
        <v>0.0263740256319472</v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>
        <f>ROUND(D43*INDEX($N$19:$N$54,1),0)</f>
        <v>3174</v>
      </c>
      <c r="AN43">
        <f>ROUND(D43*INDEX($N$19:$N$54,2),0)</f>
        <v>794</v>
      </c>
      <c r="AO43">
        <f>ROUND(D43*INDEX($N$19:$N$54,3),0)</f>
        <v>381</v>
      </c>
      <c r="AP43">
        <f>ROUND(D43*INDEX($N$19:$N$54,4),0)</f>
        <v>159</v>
      </c>
      <c r="AQ43">
        <f>ROUND(D43*INDEX($N$19:$N$54,5),0)</f>
        <v>154</v>
      </c>
      <c r="AR43">
        <f>ROUND(D43*INDEX($N$19:$N$54,6),0)</f>
        <v>149</v>
      </c>
      <c r="AS43">
        <f>ROUND(D43*INDEX($N$19:$N$54,7),0)</f>
        <v>145</v>
      </c>
      <c r="AT43">
        <f>ROUND(D43*INDEX($N$19:$N$54,8),0)</f>
        <v>140</v>
      </c>
      <c r="AU43">
        <f>ROUND(D43*INDEX($N$19:$N$54,9),0)</f>
        <v>136</v>
      </c>
      <c r="AV43">
        <f>ROUND(D43*INDEX($N$19:$N$54,10),0)</f>
        <v>132</v>
      </c>
      <c r="AW43">
        <f>ROUND(D43*INDEX($N$19:$N$54,11),0)</f>
        <v>128</v>
      </c>
      <c r="AX43">
        <f>ROUND(D43*INDEX($N$19:$N$54,12),0)</f>
        <v>124</v>
      </c>
    </row>
    <row r="44">
      <c r="A44" t="inlineStr">
        <is>
          <t>2028-04-01</t>
        </is>
      </c>
      <c r="B44">
        <v>3</v>
      </c>
      <c r="C44" t="inlineStr">
        <is>
          <t>phase_3_projection</t>
        </is>
      </c>
      <c r="D44">
        <f>ROUND(MAX(100,I44*J44*K44),0)</f>
        <v>3285</v>
      </c>
      <c r="E44">
        <f>MAX(0,F44-D44)</f>
        <v>3231</v>
      </c>
      <c r="F44">
        <f>ROUND(SUM($AN$19:$AN$54),0)</f>
        <v>6516</v>
      </c>
      <c r="G44" t="inlineStr">
        <is>
          <t/>
        </is>
      </c>
      <c r="H44">
        <f>IF($B44=1,$B$6,IF($B44=2,$B$7,$B$8))</f>
        <v>0.03</v>
      </c>
      <c r="I44">
        <f>I43*(1+H44)</f>
        <v>3805.08</v>
      </c>
      <c r="J44">
        <v>0.843513</v>
      </c>
      <c r="K44">
        <f>MAX(0.85,1+_xlfn.NORM.INV(RAND(),0,$B$15*0.35))</f>
        <v>1.023444</v>
      </c>
      <c r="L44" t="inlineStr">
        <is>
          <t/>
        </is>
      </c>
      <c r="M44">
        <v>25</v>
      </c>
      <c r="N44">
        <f>IF($M44=0,1,IF($M44=1,$B$11,IF($M44=2,$B$12,IF($M44=3,$B$13,$B$13*POWER($B$14,$M44-3))))</f>
        <v>0.0255828048629888</v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>
        <f>ROUND(D44*INDEX($N$19:$N$54,1),0)</f>
        <v>3285</v>
      </c>
      <c r="AO44">
        <f>ROUND(D44*INDEX($N$19:$N$54,2),0)</f>
        <v>821</v>
      </c>
      <c r="AP44">
        <f>ROUND(D44*INDEX($N$19:$N$54,3),0)</f>
        <v>394</v>
      </c>
      <c r="AQ44">
        <f>ROUND(D44*INDEX($N$19:$N$54,4),0)</f>
        <v>164</v>
      </c>
      <c r="AR44">
        <f>ROUND(D44*INDEX($N$19:$N$54,5),0)</f>
        <v>159</v>
      </c>
      <c r="AS44">
        <f>ROUND(D44*INDEX($N$19:$N$54,6),0)</f>
        <v>155</v>
      </c>
      <c r="AT44">
        <f>ROUND(D44*INDEX($N$19:$N$54,7),0)</f>
        <v>150</v>
      </c>
      <c r="AU44">
        <f>ROUND(D44*INDEX($N$19:$N$54,8),0)</f>
        <v>145</v>
      </c>
      <c r="AV44">
        <f>ROUND(D44*INDEX($N$19:$N$54,9),0)</f>
        <v>141</v>
      </c>
      <c r="AW44">
        <f>ROUND(D44*INDEX($N$19:$N$54,10),0)</f>
        <v>137</v>
      </c>
      <c r="AX44">
        <f>ROUND(D44*INDEX($N$19:$N$54,11),0)</f>
        <v>133</v>
      </c>
    </row>
    <row r="45">
      <c r="A45" t="inlineStr">
        <is>
          <t>2028-05-01</t>
        </is>
      </c>
      <c r="B45">
        <v>3</v>
      </c>
      <c r="C45" t="inlineStr">
        <is>
          <t>phase_3_projection</t>
        </is>
      </c>
      <c r="D45">
        <f>ROUND(MAX(100,I45*J45*K45),0)</f>
        <v>4025</v>
      </c>
      <c r="E45">
        <f>MAX(0,F45-D45)</f>
        <v>3330</v>
      </c>
      <c r="F45">
        <f>ROUND(SUM($AO$19:$AO$54),0)</f>
        <v>7355</v>
      </c>
      <c r="G45" t="inlineStr">
        <is>
          <t/>
        </is>
      </c>
      <c r="H45">
        <f>IF($B45=1,$B$6,IF($B45=2,$B$7,$B$8))</f>
        <v>0.03</v>
      </c>
      <c r="I45">
        <f>I44*(1+H45)</f>
        <v>3919.23</v>
      </c>
      <c r="J45">
        <v>1.01307</v>
      </c>
      <c r="K45">
        <f>MAX(0.85,1+_xlfn.NORM.INV(RAND(),0,$B$15*0.35))</f>
        <v>1.013624</v>
      </c>
      <c r="L45" t="inlineStr">
        <is>
          <t/>
        </is>
      </c>
      <c r="M45">
        <v>26</v>
      </c>
      <c r="N45">
        <f>IF($M45=0,1,IF($M45=1,$B$11,IF($M45=2,$B$12,IF($M45=3,$B$13,$B$13*POWER($B$14,$M45-3))))</f>
        <v>0.0248153207170991</v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>
        <f>ROUND(D45*INDEX($N$19:$N$54,1),0)</f>
        <v>4025</v>
      </c>
      <c r="AP45">
        <f>ROUND(D45*INDEX($N$19:$N$54,2),0)</f>
        <v>1006</v>
      </c>
      <c r="AQ45">
        <f>ROUND(D45*INDEX($N$19:$N$54,3),0)</f>
        <v>483</v>
      </c>
      <c r="AR45">
        <f>ROUND(D45*INDEX($N$19:$N$54,4),0)</f>
        <v>201</v>
      </c>
      <c r="AS45">
        <f>ROUND(D45*INDEX($N$19:$N$54,5),0)</f>
        <v>195</v>
      </c>
      <c r="AT45">
        <f>ROUND(D45*INDEX($N$19:$N$54,6),0)</f>
        <v>189</v>
      </c>
      <c r="AU45">
        <f>ROUND(D45*INDEX($N$19:$N$54,7),0)</f>
        <v>184</v>
      </c>
      <c r="AV45">
        <f>ROUND(D45*INDEX($N$19:$N$54,8),0)</f>
        <v>178</v>
      </c>
      <c r="AW45">
        <f>ROUND(D45*INDEX($N$19:$N$54,9),0)</f>
        <v>173</v>
      </c>
      <c r="AX45">
        <f>ROUND(D45*INDEX($N$19:$N$54,10),0)</f>
        <v>168</v>
      </c>
    </row>
    <row r="46">
      <c r="A46" t="inlineStr">
        <is>
          <t>2028-06-01</t>
        </is>
      </c>
      <c r="B46">
        <v>3</v>
      </c>
      <c r="C46" t="inlineStr">
        <is>
          <t>phase_3_projection</t>
        </is>
      </c>
      <c r="D46">
        <f>ROUND(MAX(100,I46*J46*K46),0)</f>
        <v>3588</v>
      </c>
      <c r="E46">
        <f>MAX(0,F46-D46)</f>
        <v>3623</v>
      </c>
      <c r="F46">
        <f>ROUND(SUM($AP$19:$AP$54),0)</f>
        <v>7211</v>
      </c>
      <c r="G46" t="inlineStr">
        <is>
          <t/>
        </is>
      </c>
      <c r="H46">
        <f>IF($B46=1,$B$6,IF($B46=2,$B$7,$B$8))</f>
        <v>0.03</v>
      </c>
      <c r="I46">
        <f>I45*(1+H46)</f>
        <v>4036.81</v>
      </c>
      <c r="J46">
        <v>0.906254</v>
      </c>
      <c r="K46">
        <f>MAX(0.85,1+_xlfn.NORM.INV(RAND(),0,$B$15*0.35))</f>
        <v>0.9807</v>
      </c>
      <c r="L46" t="inlineStr">
        <is>
          <t/>
        </is>
      </c>
      <c r="M46">
        <v>27</v>
      </c>
      <c r="N46">
        <f>IF($M46=0,1,IF($M46=1,$B$11,IF($M46=2,$B$12,IF($M46=3,$B$13,$B$13*POWER($B$14,$M46-3))))</f>
        <v>0.0240708610955862</v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>
        <f>ROUND(D46*INDEX($N$19:$N$54,1),0)</f>
        <v>3588</v>
      </c>
      <c r="AQ46">
        <f>ROUND(D46*INDEX($N$19:$N$54,2),0)</f>
        <v>897</v>
      </c>
      <c r="AR46">
        <f>ROUND(D46*INDEX($N$19:$N$54,3),0)</f>
        <v>431</v>
      </c>
      <c r="AS46">
        <f>ROUND(D46*INDEX($N$19:$N$54,4),0)</f>
        <v>179</v>
      </c>
      <c r="AT46">
        <f>ROUND(D46*INDEX($N$19:$N$54,5),0)</f>
        <v>174</v>
      </c>
      <c r="AU46">
        <f>ROUND(D46*INDEX($N$19:$N$54,6),0)</f>
        <v>169</v>
      </c>
      <c r="AV46">
        <f>ROUND(D46*INDEX($N$19:$N$54,7),0)</f>
        <v>164</v>
      </c>
      <c r="AW46">
        <f>ROUND(D46*INDEX($N$19:$N$54,8),0)</f>
        <v>159</v>
      </c>
      <c r="AX46">
        <f>ROUND(D46*INDEX($N$19:$N$54,9),0)</f>
        <v>154</v>
      </c>
    </row>
    <row r="47">
      <c r="A47" t="inlineStr">
        <is>
          <t>2028-07-01</t>
        </is>
      </c>
      <c r="B47">
        <v>3</v>
      </c>
      <c r="C47" t="inlineStr">
        <is>
          <t>phase_3_projection</t>
        </is>
      </c>
      <c r="D47">
        <f>ROUND(MAX(100,I47*J47*K47),0)</f>
        <v>3723</v>
      </c>
      <c r="E47">
        <f>MAX(0,F47-D47)</f>
        <v>3699</v>
      </c>
      <c r="F47">
        <f>ROUND(SUM($AQ$19:$AQ$54),0)</f>
        <v>7422</v>
      </c>
      <c r="G47" t="inlineStr">
        <is>
          <t/>
        </is>
      </c>
      <c r="H47">
        <f>IF($B47=1,$B$6,IF($B47=2,$B$7,$B$8))</f>
        <v>0.03</v>
      </c>
      <c r="I47">
        <f>I46*(1+H47)</f>
        <v>4157.91</v>
      </c>
      <c r="J47">
        <v>0.891844</v>
      </c>
      <c r="K47">
        <f>MAX(0.85,1+_xlfn.NORM.INV(RAND(),0,$B$15*0.35))</f>
        <v>1.004065</v>
      </c>
      <c r="L47" t="inlineStr">
        <is>
          <t/>
        </is>
      </c>
      <c r="M47">
        <v>28</v>
      </c>
      <c r="N47">
        <f>IF($M47=0,1,IF($M47=1,$B$11,IF($M47=2,$B$12,IF($M47=3,$B$13,$B$13*POWER($B$14,$M47-3))))</f>
        <v>0.0233487352627186</v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>
        <f>ROUND(D47*INDEX($N$19:$N$54,1),0)</f>
        <v>3723</v>
      </c>
      <c r="AR47">
        <f>ROUND(D47*INDEX($N$19:$N$54,2),0)</f>
        <v>931</v>
      </c>
      <c r="AS47">
        <f>ROUND(D47*INDEX($N$19:$N$54,3),0)</f>
        <v>447</v>
      </c>
      <c r="AT47">
        <f>ROUND(D47*INDEX($N$19:$N$54,4),0)</f>
        <v>186</v>
      </c>
      <c r="AU47">
        <f>ROUND(D47*INDEX($N$19:$N$54,5),0)</f>
        <v>181</v>
      </c>
      <c r="AV47">
        <f>ROUND(D47*INDEX($N$19:$N$54,6),0)</f>
        <v>175</v>
      </c>
      <c r="AW47">
        <f>ROUND(D47*INDEX($N$19:$N$54,7),0)</f>
        <v>170</v>
      </c>
      <c r="AX47">
        <f>ROUND(D47*INDEX($N$19:$N$54,8),0)</f>
        <v>165</v>
      </c>
    </row>
    <row r="48">
      <c r="A48" t="inlineStr">
        <is>
          <t>2028-08-01</t>
        </is>
      </c>
      <c r="B48">
        <v>3</v>
      </c>
      <c r="C48" t="inlineStr">
        <is>
          <t>phase_3_projection</t>
        </is>
      </c>
      <c r="D48">
        <f>ROUND(MAX(100,I48*J48*K48),0)</f>
        <v>3843</v>
      </c>
      <c r="E48">
        <f>MAX(0,F48-D48)</f>
        <v>3811</v>
      </c>
      <c r="F48">
        <f>ROUND(SUM($AR$19:$AR$54),0)</f>
        <v>7654</v>
      </c>
      <c r="G48" t="inlineStr">
        <is>
          <t/>
        </is>
      </c>
      <c r="H48">
        <f>IF($B48=1,$B$6,IF($B48=2,$B$7,$B$8))</f>
        <v>0.03</v>
      </c>
      <c r="I48">
        <f>I47*(1+H48)</f>
        <v>4282.65</v>
      </c>
      <c r="J48">
        <v>0.921643</v>
      </c>
      <c r="K48">
        <f>MAX(0.85,1+_xlfn.NORM.INV(RAND(),0,$B$15*0.35))</f>
        <v>0.973585</v>
      </c>
      <c r="L48" t="inlineStr">
        <is>
          <t/>
        </is>
      </c>
      <c r="M48">
        <v>29</v>
      </c>
      <c r="N48">
        <f>IF($M48=0,1,IF($M48=1,$B$11,IF($M48=2,$B$12,IF($M48=3,$B$13,$B$13*POWER($B$14,$M48-3))))</f>
        <v>0.022648273204837</v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>
        <f>ROUND(D48*INDEX($N$19:$N$54,1),0)</f>
        <v>3843</v>
      </c>
      <c r="AS48">
        <f>ROUND(D48*INDEX($N$19:$N$54,2),0)</f>
        <v>961</v>
      </c>
      <c r="AT48">
        <f>ROUND(D48*INDEX($N$19:$N$54,3),0)</f>
        <v>461</v>
      </c>
      <c r="AU48">
        <f>ROUND(D48*INDEX($N$19:$N$54,4),0)</f>
        <v>192</v>
      </c>
      <c r="AV48">
        <f>ROUND(D48*INDEX($N$19:$N$54,5),0)</f>
        <v>186</v>
      </c>
      <c r="AW48">
        <f>ROUND(D48*INDEX($N$19:$N$54,6),0)</f>
        <v>181</v>
      </c>
      <c r="AX48">
        <f>ROUND(D48*INDEX($N$19:$N$54,7),0)</f>
        <v>175</v>
      </c>
    </row>
    <row r="49">
      <c r="A49" t="inlineStr">
        <is>
          <t>2028-09-01</t>
        </is>
      </c>
      <c r="B49">
        <v>3</v>
      </c>
      <c r="C49" t="inlineStr">
        <is>
          <t>phase_3_projection</t>
        </is>
      </c>
      <c r="D49">
        <f>ROUND(MAX(100,I49*J49*K49),0)</f>
        <v>3741</v>
      </c>
      <c r="E49">
        <f>MAX(0,F49-D49)</f>
        <v>3964</v>
      </c>
      <c r="F49">
        <f>ROUND(SUM($AS$19:$AS$54),0)</f>
        <v>7705</v>
      </c>
      <c r="G49" t="inlineStr">
        <is>
          <t/>
        </is>
      </c>
      <c r="H49">
        <f>IF($B49=1,$B$6,IF($B49=2,$B$7,$B$8))</f>
        <v>0.03</v>
      </c>
      <c r="I49">
        <f>I48*(1+H49)</f>
        <v>4411.13</v>
      </c>
      <c r="J49">
        <v>0.885988</v>
      </c>
      <c r="K49">
        <f>MAX(0.85,1+_xlfn.NORM.INV(RAND(),0,$B$15*0.35))</f>
        <v>0.957291</v>
      </c>
      <c r="L49" t="inlineStr">
        <is>
          <t/>
        </is>
      </c>
      <c r="M49">
        <v>30</v>
      </c>
      <c r="N49">
        <f>IF($M49=0,1,IF($M49=1,$B$11,IF($M49=2,$B$12,IF($M49=3,$B$13,$B$13*POWER($B$14,$M49-3))))</f>
        <v>0.0219688250086919</v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>
        <f>ROUND(D49*INDEX($N$19:$N$54,1),0)</f>
        <v>3741</v>
      </c>
      <c r="AT49">
        <f>ROUND(D49*INDEX($N$19:$N$54,2),0)</f>
        <v>935</v>
      </c>
      <c r="AU49">
        <f>ROUND(D49*INDEX($N$19:$N$54,3),0)</f>
        <v>449</v>
      </c>
      <c r="AV49">
        <f>ROUND(D49*INDEX($N$19:$N$54,4),0)</f>
        <v>187</v>
      </c>
      <c r="AW49">
        <f>ROUND(D49*INDEX($N$19:$N$54,5),0)</f>
        <v>181</v>
      </c>
      <c r="AX49">
        <f>ROUND(D49*INDEX($N$19:$N$54,6),0)</f>
        <v>176</v>
      </c>
    </row>
    <row r="50">
      <c r="A50" t="inlineStr">
        <is>
          <t>2028-10-01</t>
        </is>
      </c>
      <c r="B50">
        <v>3</v>
      </c>
      <c r="C50" t="inlineStr">
        <is>
          <t>phase_3_projection</t>
        </is>
      </c>
      <c r="D50">
        <f>ROUND(MAX(100,I50*J50*K50),0)</f>
        <v>4128</v>
      </c>
      <c r="E50">
        <f>MAX(0,F50-D50)</f>
        <v>4062</v>
      </c>
      <c r="F50">
        <f>ROUND(SUM($AT$19:$AT$54),0)</f>
        <v>8190</v>
      </c>
      <c r="G50" t="inlineStr">
        <is>
          <t/>
        </is>
      </c>
      <c r="H50">
        <f>IF($B50=1,$B$6,IF($B50=2,$B$7,$B$8))</f>
        <v>0.03</v>
      </c>
      <c r="I50">
        <f>I49*(1+H50)</f>
        <v>4543.46</v>
      </c>
      <c r="J50">
        <v>0.911037</v>
      </c>
      <c r="K50">
        <f>MAX(0.85,1+_xlfn.NORM.INV(RAND(),0,$B$15*0.35))</f>
        <v>0.997166</v>
      </c>
      <c r="L50" t="inlineStr">
        <is>
          <t/>
        </is>
      </c>
      <c r="M50">
        <v>31</v>
      </c>
      <c r="N50">
        <f>IF($M50=0,1,IF($M50=1,$B$11,IF($M50=2,$B$12,IF($M50=3,$B$13,$B$13*POWER($B$14,$M50-3))))</f>
        <v>0.0213097602584312</v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>
        <f>ROUND(D50*INDEX($N$19:$N$54,1),0)</f>
        <v>4128</v>
      </c>
      <c r="AU50">
        <f>ROUND(D50*INDEX($N$19:$N$54,2),0)</f>
        <v>1032</v>
      </c>
      <c r="AV50">
        <f>ROUND(D50*INDEX($N$19:$N$54,3),0)</f>
        <v>495</v>
      </c>
      <c r="AW50">
        <f>ROUND(D50*INDEX($N$19:$N$54,4),0)</f>
        <v>206</v>
      </c>
      <c r="AX50">
        <f>ROUND(D50*INDEX($N$19:$N$54,5),0)</f>
        <v>200</v>
      </c>
    </row>
    <row r="51">
      <c r="A51" t="inlineStr">
        <is>
          <t>2028-11-01</t>
        </is>
      </c>
      <c r="B51">
        <v>3</v>
      </c>
      <c r="C51" t="inlineStr">
        <is>
          <t>phase_3_projection</t>
        </is>
      </c>
      <c r="D51">
        <f>ROUND(MAX(100,I51*J51*K51),0)</f>
        <v>6314</v>
      </c>
      <c r="E51">
        <f>MAX(0,F51-D51)</f>
        <v>4261</v>
      </c>
      <c r="F51">
        <f>ROUND(SUM($AU$19:$AU$54),0)</f>
        <v>10575</v>
      </c>
      <c r="G51" t="inlineStr">
        <is>
          <t/>
        </is>
      </c>
      <c r="H51">
        <f>IF($B51=1,$B$6,IF($B51=2,$B$7,$B$8))</f>
        <v>0.03</v>
      </c>
      <c r="I51">
        <f>I50*(1+H51)</f>
        <v>4679.77</v>
      </c>
      <c r="J51">
        <v>1.344002</v>
      </c>
      <c r="K51">
        <f>MAX(0.85,1+_xlfn.NORM.INV(RAND(),0,$B$15*0.35))</f>
        <v>1.003822</v>
      </c>
      <c r="L51" t="inlineStr">
        <is>
          <t/>
        </is>
      </c>
      <c r="M51">
        <v>32</v>
      </c>
      <c r="N51">
        <f>IF($M51=0,1,IF($M51=1,$B$11,IF($M51=2,$B$12,IF($M51=3,$B$13,$B$13*POWER($B$14,$M51-3))))</f>
        <v>0.0206704674506782</v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>
        <f>ROUND(D51*INDEX($N$19:$N$54,1),0)</f>
        <v>6314</v>
      </c>
      <c r="AV51">
        <f>ROUND(D51*INDEX($N$19:$N$54,2),0)</f>
        <v>1578</v>
      </c>
      <c r="AW51">
        <f>ROUND(D51*INDEX($N$19:$N$54,3),0)</f>
        <v>758</v>
      </c>
      <c r="AX51">
        <f>ROUND(D51*INDEX($N$19:$N$54,4),0)</f>
        <v>316</v>
      </c>
    </row>
    <row r="52">
      <c r="A52" t="inlineStr">
        <is>
          <t>2028-12-01</t>
        </is>
      </c>
      <c r="B52">
        <v>3</v>
      </c>
      <c r="C52" t="inlineStr">
        <is>
          <t>phase_3_projection</t>
        </is>
      </c>
      <c r="D52">
        <f>ROUND(MAX(100,I52*J52*K52),0)</f>
        <v>11880</v>
      </c>
      <c r="E52">
        <f>MAX(0,F52-D52)</f>
        <v>4955</v>
      </c>
      <c r="F52">
        <f>ROUND(SUM($AV$19:$AV$54),0)</f>
        <v>16835</v>
      </c>
      <c r="G52" t="inlineStr">
        <is>
          <t/>
        </is>
      </c>
      <c r="H52">
        <f>IF($B52=1,$B$6,IF($B52=2,$B$7,$B$8))</f>
        <v>0.03</v>
      </c>
      <c r="I52">
        <f>I51*(1+H52)</f>
        <v>4820.16</v>
      </c>
      <c r="J52">
        <v>2.521434</v>
      </c>
      <c r="K52">
        <f>MAX(0.85,1+_xlfn.NORM.INV(RAND(),0,$B$15*0.35))</f>
        <v>0.977494</v>
      </c>
      <c r="L52" t="inlineStr">
        <is>
          <t/>
        </is>
      </c>
      <c r="M52">
        <v>33</v>
      </c>
      <c r="N52">
        <f>IF($M52=0,1,IF($M52=1,$B$11,IF($M52=2,$B$12,IF($M52=3,$B$13,$B$13*POWER($B$14,$M52-3))))</f>
        <v>0.0200503534271579</v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>
        <f>ROUND(D52*INDEX($N$19:$N$54,1),0)</f>
        <v>11880</v>
      </c>
      <c r="AW52">
        <f>ROUND(D52*INDEX($N$19:$N$54,2),0)</f>
        <v>2970</v>
      </c>
      <c r="AX52">
        <f>ROUND(D52*INDEX($N$19:$N$54,3),0)</f>
        <v>1426</v>
      </c>
    </row>
    <row r="53">
      <c r="A53" t="inlineStr">
        <is>
          <t>2029-01-01</t>
        </is>
      </c>
      <c r="B53">
        <v>3</v>
      </c>
      <c r="C53" t="inlineStr">
        <is>
          <t>phase_3_projection</t>
        </is>
      </c>
      <c r="D53">
        <f>ROUND(MAX(100,I53*J53*K53),0)</f>
        <v>3968</v>
      </c>
      <c r="E53">
        <f>MAX(0,F53-D53)</f>
        <v>6729</v>
      </c>
      <c r="F53">
        <f>ROUND(SUM($AW$19:$AW$54),0)</f>
        <v>10697</v>
      </c>
      <c r="G53" t="inlineStr">
        <is>
          <t/>
        </is>
      </c>
      <c r="H53">
        <f>IF($B53=1,$B$6,IF($B53=2,$B$7,$B$8))</f>
        <v>0.03</v>
      </c>
      <c r="I53">
        <f>I52*(1+H53)</f>
        <v>4964.76</v>
      </c>
      <c r="J53">
        <v>0.805962</v>
      </c>
      <c r="K53">
        <f>MAX(0.85,1+_xlfn.NORM.INV(RAND(),0,$B$15*0.35))</f>
        <v>0.991632</v>
      </c>
      <c r="L53" t="inlineStr">
        <is>
          <t/>
        </is>
      </c>
      <c r="M53">
        <v>34</v>
      </c>
      <c r="N53">
        <f>IF($M53=0,1,IF($M53=1,$B$11,IF($M53=2,$B$12,IF($M53=3,$B$13,$B$13*POWER($B$14,$M53-3))))</f>
        <v>0.0194488428243431</v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>
        <f>ROUND(D53*INDEX($N$19:$N$54,1),0)</f>
        <v>3968</v>
      </c>
      <c r="AX53">
        <f>ROUND(D53*INDEX($N$19:$N$54,2),0)</f>
        <v>992</v>
      </c>
    </row>
    <row r="54">
      <c r="A54" t="inlineStr">
        <is>
          <t>2029-02-01</t>
        </is>
      </c>
      <c r="B54">
        <v>3</v>
      </c>
      <c r="C54" t="inlineStr">
        <is>
          <t>phase_3_projection</t>
        </is>
      </c>
      <c r="D54">
        <f>ROUND(MAX(100,I54*J54*K54),0)</f>
        <v>5144</v>
      </c>
      <c r="E54">
        <f>MAX(0,F54-D54)</f>
        <v>5644</v>
      </c>
      <c r="F54">
        <f>ROUND(SUM($AX$19:$AX$54),0)</f>
        <v>10788</v>
      </c>
      <c r="G54" t="inlineStr">
        <is>
          <t/>
        </is>
      </c>
      <c r="H54">
        <f>IF($B54=1,$B$6,IF($B54=2,$B$7,$B$8))</f>
        <v>0.03</v>
      </c>
      <c r="I54">
        <f>I53*(1+H54)</f>
        <v>5113.71</v>
      </c>
      <c r="J54">
        <v>0.9952</v>
      </c>
      <c r="K54">
        <f>MAX(0.85,1+_xlfn.NORM.INV(RAND(),0,$B$15*0.35))</f>
        <v>1.010854</v>
      </c>
      <c r="L54" t="inlineStr">
        <is>
          <t/>
        </is>
      </c>
      <c r="M54">
        <v>35</v>
      </c>
      <c r="N54">
        <f>IF($M54=0,1,IF($M54=1,$B$11,IF($M54=2,$B$12,IF($M54=3,$B$13,$B$13*POWER($B$14,$M54-3))))</f>
        <v>0.0188653775396128</v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>
        <f>ROUND(D54*INDEX($N$19:$N$54,1),0)</f>
        <v>5144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sheetFormatPr defaultRowHeight="15"/>
  <sheetData>
    <row r="1">
      <c r="A1" t="inlineStr">
        <is>
          <t>[Subscriptions Assumptions]</t>
        </is>
      </c>
      <c r="B1" t="inlineStr">
        <is>
          <t/>
        </is>
      </c>
      <c r="C1" t="inlineStr">
        <is>
          <t>Inputs used by the subscription revenue projection below.</t>
        </is>
      </c>
    </row>
    <row r="2">
      <c r="A2" t="inlineStr">
        <is>
          <t>name</t>
        </is>
      </c>
      <c r="B2" t="inlineStr">
        <is>
          <t>value</t>
        </is>
      </c>
      <c r="C2" t="inlineStr">
        <is>
          <t>details</t>
        </is>
      </c>
    </row>
    <row r="3">
      <c r="A3" t="inlineStr">
        <is>
          <t>projection_months</t>
        </is>
      </c>
      <c r="B3">
        <v>36</v>
      </c>
      <c r="C3" t="inlineStr">
        <is>
          <t>Number of projected monthly rows in the workbook model.</t>
        </is>
      </c>
    </row>
    <row r="4">
      <c r="A4" t="inlineStr">
        <is>
          <t>projection_start_month</t>
        </is>
      </c>
      <c r="B4" t="inlineStr">
        <is>
          <t>2026-03</t>
        </is>
      </c>
      <c r="C4" t="inlineStr">
        <is>
          <t>First month of the synthetic projection in YYYY-MM format.</t>
        </is>
      </c>
    </row>
    <row r="5">
      <c r="A5" t="inlineStr">
        <is>
          <t>subscription_conversion_start</t>
        </is>
      </c>
      <c r="B5">
        <v>0.008</v>
      </c>
      <c r="C5" t="inlineStr">
        <is>
          <t>Initial MAU-to-paid conversion rate.</t>
        </is>
      </c>
    </row>
    <row r="6">
      <c r="A6" t="inlineStr">
        <is>
          <t>subscription_conversion_end</t>
        </is>
      </c>
      <c r="B6">
        <v>0.025</v>
      </c>
      <c r="C6" t="inlineStr">
        <is>
          <t>Target MAU-to-paid conversion rate approached over time.</t>
        </is>
      </c>
    </row>
    <row r="7">
      <c r="A7" t="inlineStr">
        <is>
          <t>subscription_conversion_monthly_improvement_rate</t>
        </is>
      </c>
      <c r="B7">
        <v>0.08</v>
      </c>
      <c r="C7" t="inlineStr">
        <is>
          <t>Share of the remaining conversion-rate gap closed each month.</t>
        </is>
      </c>
    </row>
    <row r="8">
      <c r="A8" t="inlineStr">
        <is>
          <t>subscription_retention_start</t>
        </is>
      </c>
      <c r="B8">
        <v>0.3</v>
      </c>
      <c r="C8" t="inlineStr">
        <is>
          <t>Initial monthly subscriber retention rate.</t>
        </is>
      </c>
    </row>
    <row r="9">
      <c r="A9" t="inlineStr">
        <is>
          <t>subscription_retention_end</t>
        </is>
      </c>
      <c r="B9">
        <v>0.6</v>
      </c>
      <c r="C9" t="inlineStr">
        <is>
          <t>Target monthly subscriber retention rate approached over time.</t>
        </is>
      </c>
    </row>
    <row r="10">
      <c r="A10" t="inlineStr">
        <is>
          <t>subscription_retention_monthly_improvement_rate</t>
        </is>
      </c>
      <c r="B10">
        <v>0.06</v>
      </c>
      <c r="C10" t="inlineStr">
        <is>
          <t>Share of the remaining retention-rate gap closed each month.</t>
        </is>
      </c>
    </row>
    <row r="11">
      <c r="A11" t="inlineStr">
        <is>
          <t>subscription_price_usd</t>
        </is>
      </c>
      <c r="B11">
        <v>20</v>
      </c>
      <c r="C11" t="inlineStr">
        <is>
          <t>Monthly subscription price used by the Subscriptions sheet.</t>
        </is>
      </c>
    </row>
    <row r="12">
      <c r="A12" t="inlineStr">
        <is>
          <t>dependency</t>
        </is>
      </c>
      <c r="B12" t="inlineStr">
        <is>
          <t>MAU.mau</t>
        </is>
      </c>
      <c r="C12" t="inlineStr">
        <is>
          <t>Subscriber-state and subscription revenue are derived from the MAU sheet's audience base.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</row>
    <row r="14">
      <c r="A14" t="inlineStr">
        <is>
          <t>month</t>
        </is>
      </c>
      <c r="B14" t="inlineStr">
        <is>
          <t>year_index</t>
        </is>
      </c>
      <c r="C14" t="inlineStr">
        <is>
          <t>phase</t>
        </is>
      </c>
      <c r="D14" t="inlineStr">
        <is>
          <t>mau</t>
        </is>
      </c>
      <c r="E14" t="inlineStr">
        <is>
          <t>subscription_conversion_rate</t>
        </is>
      </c>
      <c r="F14" t="inlineStr">
        <is>
          <t>subscription_retention_rate</t>
        </is>
      </c>
      <c r="G14" t="inlineStr">
        <is>
          <t>retained_subscribers</t>
        </is>
      </c>
      <c r="H14" t="inlineStr">
        <is>
          <t>new_subscribers</t>
        </is>
      </c>
      <c r="I14" t="inlineStr">
        <is>
          <t>churned_subscribers</t>
        </is>
      </c>
      <c r="J14" t="inlineStr">
        <is>
          <t>active_subscribers</t>
        </is>
      </c>
      <c r="K14" t="inlineStr">
        <is>
          <t>subscription_price_usd</t>
        </is>
      </c>
      <c r="L14" t="inlineStr">
        <is>
          <t>subscription_revenue_usd</t>
        </is>
      </c>
    </row>
    <row r="15">
      <c r="A15" t="inlineStr">
        <is>
          <t>2026-03-01</t>
        </is>
      </c>
      <c r="B15">
        <v>1</v>
      </c>
      <c r="C15" t="inlineStr">
        <is>
          <t>phase_1_user_growth</t>
        </is>
      </c>
      <c r="D15">
        <f>'MAU'!$F19</f>
        <v>613</v>
      </c>
      <c r="E15">
        <f>$B$5</f>
        <v>0.008</v>
      </c>
      <c r="F15">
        <f>$B$8</f>
        <v>0.3</v>
      </c>
      <c r="G15">
        <f>ROUND(IF(ROW()=15,0,J14)*F15,0)</f>
        <v>0</v>
      </c>
      <c r="H15">
        <f>ROUND(MAX(0,J15-G15),0)</f>
        <v>5</v>
      </c>
      <c r="I15">
        <f>ROUND(MAX(0,IF(ROW()=15,0,J14)-G15),0)</f>
        <v>0</v>
      </c>
      <c r="J15">
        <f>ROUND(MAX(G15,D15*E15),0)</f>
        <v>5</v>
      </c>
      <c r="K15">
        <f>$B$11</f>
        <v>20</v>
      </c>
      <c r="L15">
        <f>ROUND(J15*K15,2)</f>
        <v>100</v>
      </c>
    </row>
    <row r="16">
      <c r="A16" t="inlineStr">
        <is>
          <t>2026-04-01</t>
        </is>
      </c>
      <c r="B16">
        <v>1</v>
      </c>
      <c r="C16" t="inlineStr">
        <is>
          <t>phase_1_user_growth</t>
        </is>
      </c>
      <c r="D16">
        <f>'MAU'!$F20</f>
        <v>790</v>
      </c>
      <c r="E16">
        <f>E15+($B$6-E15)*$B$7</f>
        <v>0.0094</v>
      </c>
      <c r="F16">
        <f>F15+($B$9-F15)*$B$10</f>
        <v>0.318</v>
      </c>
      <c r="G16">
        <f>ROUND(IF(ROW()=15,0,J15)*F16,0)</f>
        <v>2</v>
      </c>
      <c r="H16">
        <f>ROUND(MAX(0,J16-G16),0)</f>
        <v>6</v>
      </c>
      <c r="I16">
        <f>ROUND(MAX(0,IF(ROW()=15,0,J15)-G16),0)</f>
        <v>3</v>
      </c>
      <c r="J16">
        <f>ROUND(MAX(G16,D16*E16),0)</f>
        <v>7</v>
      </c>
      <c r="K16">
        <f>$B$11</f>
        <v>20</v>
      </c>
      <c r="L16">
        <f>ROUND(J16*K16,2)</f>
        <v>140</v>
      </c>
    </row>
    <row r="17">
      <c r="A17" t="inlineStr">
        <is>
          <t>2026-05-01</t>
        </is>
      </c>
      <c r="B17">
        <v>1</v>
      </c>
      <c r="C17" t="inlineStr">
        <is>
          <t>phase_1_user_growth</t>
        </is>
      </c>
      <c r="D17">
        <f>'MAU'!$F21</f>
        <v>1101</v>
      </c>
      <c r="E17">
        <f>E16+($B$6-E16)*$B$7</f>
        <v>0.0106</v>
      </c>
      <c r="F17">
        <f>F16+($B$9-F16)*$B$10</f>
        <v>0.3349</v>
      </c>
      <c r="G17">
        <f>ROUND(IF(ROW()=15,0,J16)*F17,0)</f>
        <v>2</v>
      </c>
      <c r="H17">
        <f>ROUND(MAX(0,J17-G17),0)</f>
        <v>9</v>
      </c>
      <c r="I17">
        <f>ROUND(MAX(0,IF(ROW()=15,0,J16)-G17),0)</f>
        <v>5</v>
      </c>
      <c r="J17">
        <f>ROUND(MAX(G17,D17*E17),0)</f>
        <v>12</v>
      </c>
      <c r="K17">
        <f>$B$11</f>
        <v>20</v>
      </c>
      <c r="L17">
        <f>ROUND(J17*K17,2)</f>
        <v>240</v>
      </c>
    </row>
    <row r="18">
      <c r="A18" t="inlineStr">
        <is>
          <t>2026-06-01</t>
        </is>
      </c>
      <c r="B18">
        <v>1</v>
      </c>
      <c r="C18" t="inlineStr">
        <is>
          <t>phase_1_user_growth</t>
        </is>
      </c>
      <c r="D18">
        <f>'MAU'!$F22</f>
        <v>1171</v>
      </c>
      <c r="E18">
        <f>E17+($B$6-E17)*$B$7</f>
        <v>0.0118</v>
      </c>
      <c r="F18">
        <f>F17+($B$9-F17)*$B$10</f>
        <v>0.3508</v>
      </c>
      <c r="G18">
        <f>ROUND(IF(ROW()=15,0,J17)*F18,0)</f>
        <v>4</v>
      </c>
      <c r="H18">
        <f>ROUND(MAX(0,J18-G18),0)</f>
        <v>10</v>
      </c>
      <c r="I18">
        <f>ROUND(MAX(0,IF(ROW()=15,0,J17)-G18),0)</f>
        <v>8</v>
      </c>
      <c r="J18">
        <f>ROUND(MAX(G18,D18*E18),0)</f>
        <v>14</v>
      </c>
      <c r="K18">
        <f>$B$11</f>
        <v>20</v>
      </c>
      <c r="L18">
        <f>ROUND(J18*K18,2)</f>
        <v>280</v>
      </c>
    </row>
    <row r="19">
      <c r="A19" t="inlineStr">
        <is>
          <t>2026-07-01</t>
        </is>
      </c>
      <c r="B19">
        <v>1</v>
      </c>
      <c r="C19" t="inlineStr">
        <is>
          <t>phase_1_user_growth</t>
        </is>
      </c>
      <c r="D19">
        <f>'MAU'!$F23</f>
        <v>1293</v>
      </c>
      <c r="E19">
        <f>E18+($B$6-E18)*$B$7</f>
        <v>0.0128</v>
      </c>
      <c r="F19">
        <f>F18+($B$9-F18)*$B$10</f>
        <v>0.3658</v>
      </c>
      <c r="G19">
        <f>ROUND(IF(ROW()=15,0,J18)*F19,0)</f>
        <v>5</v>
      </c>
      <c r="H19">
        <f>ROUND(MAX(0,J19-G19),0)</f>
        <v>12</v>
      </c>
      <c r="I19">
        <f>ROUND(MAX(0,IF(ROW()=15,0,J18)-G19),0)</f>
        <v>9</v>
      </c>
      <c r="J19">
        <f>ROUND(MAX(G19,D19*E19),0)</f>
        <v>17</v>
      </c>
      <c r="K19">
        <f>$B$11</f>
        <v>20</v>
      </c>
      <c r="L19">
        <f>ROUND(J19*K19,2)</f>
        <v>340</v>
      </c>
    </row>
    <row r="20">
      <c r="A20" t="inlineStr">
        <is>
          <t>2026-08-01</t>
        </is>
      </c>
      <c r="B20">
        <v>1</v>
      </c>
      <c r="C20" t="inlineStr">
        <is>
          <t>phase_1_user_growth</t>
        </is>
      </c>
      <c r="D20">
        <f>'MAU'!$F24</f>
        <v>1503</v>
      </c>
      <c r="E20">
        <f>E19+($B$6-E19)*$B$7</f>
        <v>0.0138</v>
      </c>
      <c r="F20">
        <f>F19+($B$9-F19)*$B$10</f>
        <v>0.3798</v>
      </c>
      <c r="G20">
        <f>ROUND(IF(ROW()=15,0,J19)*F20,0)</f>
        <v>6</v>
      </c>
      <c r="H20">
        <f>ROUND(MAX(0,J20-G20),0)</f>
        <v>14</v>
      </c>
      <c r="I20">
        <f>ROUND(MAX(0,IF(ROW()=15,0,J19)-G20),0)</f>
        <v>10</v>
      </c>
      <c r="J20">
        <f>ROUND(MAX(G20,D20*E20),0)</f>
        <v>21</v>
      </c>
      <c r="K20">
        <f>$B$11</f>
        <v>20</v>
      </c>
      <c r="L20">
        <f>ROUND(J20*K20,2)</f>
        <v>420</v>
      </c>
    </row>
    <row r="21">
      <c r="A21" t="inlineStr">
        <is>
          <t>2026-09-01</t>
        </is>
      </c>
      <c r="B21">
        <v>1</v>
      </c>
      <c r="C21" t="inlineStr">
        <is>
          <t>phase_1_user_growth</t>
        </is>
      </c>
      <c r="D21">
        <f>'MAU'!$F25</f>
        <v>1593</v>
      </c>
      <c r="E21">
        <f>E20+($B$6-E20)*$B$7</f>
        <v>0.0147</v>
      </c>
      <c r="F21">
        <f>F20+($B$9-F20)*$B$10</f>
        <v>0.393</v>
      </c>
      <c r="G21">
        <f>ROUND(IF(ROW()=15,0,J20)*F21,0)</f>
        <v>8</v>
      </c>
      <c r="H21">
        <f>ROUND(MAX(0,J21-G21),0)</f>
        <v>15</v>
      </c>
      <c r="I21">
        <f>ROUND(MAX(0,IF(ROW()=15,0,J20)-G21),0)</f>
        <v>13</v>
      </c>
      <c r="J21">
        <f>ROUND(MAX(G21,D21*E21),0)</f>
        <v>23</v>
      </c>
      <c r="K21">
        <f>$B$11</f>
        <v>20</v>
      </c>
      <c r="L21">
        <f>ROUND(J21*K21,2)</f>
        <v>460</v>
      </c>
    </row>
    <row r="22">
      <c r="A22" t="inlineStr">
        <is>
          <t>2026-10-01</t>
        </is>
      </c>
      <c r="B22">
        <v>1</v>
      </c>
      <c r="C22" t="inlineStr">
        <is>
          <t>phase_1_user_growth</t>
        </is>
      </c>
      <c r="D22">
        <f>'MAU'!$F26</f>
        <v>1824</v>
      </c>
      <c r="E22">
        <f>E21+($B$6-E21)*$B$7</f>
        <v>0.0155</v>
      </c>
      <c r="F22">
        <f>F21+($B$9-F21)*$B$10</f>
        <v>0.4055</v>
      </c>
      <c r="G22">
        <f>ROUND(IF(ROW()=15,0,J21)*F22,0)</f>
        <v>9</v>
      </c>
      <c r="H22">
        <f>ROUND(MAX(0,J22-G22),0)</f>
        <v>19</v>
      </c>
      <c r="I22">
        <f>ROUND(MAX(0,IF(ROW()=15,0,J21)-G22),0)</f>
        <v>14</v>
      </c>
      <c r="J22">
        <f>ROUND(MAX(G22,D22*E22),0)</f>
        <v>28</v>
      </c>
      <c r="K22">
        <f>$B$11</f>
        <v>20</v>
      </c>
      <c r="L22">
        <f>ROUND(J22*K22,2)</f>
        <v>560</v>
      </c>
    </row>
    <row r="23">
      <c r="A23" t="inlineStr">
        <is>
          <t>2026-11-01</t>
        </is>
      </c>
      <c r="B23">
        <v>1</v>
      </c>
      <c r="C23" t="inlineStr">
        <is>
          <t>phase_1_user_growth</t>
        </is>
      </c>
      <c r="D23">
        <f>'MAU'!$F27</f>
        <v>2691</v>
      </c>
      <c r="E23">
        <f>E22+($B$6-E22)*$B$7</f>
        <v>0.0163</v>
      </c>
      <c r="F23">
        <f>F22+($B$9-F22)*$B$10</f>
        <v>0.4171</v>
      </c>
      <c r="G23">
        <f>ROUND(IF(ROW()=15,0,J22)*F23,0)</f>
        <v>12</v>
      </c>
      <c r="H23">
        <f>ROUND(MAX(0,J23-G23),0)</f>
        <v>32</v>
      </c>
      <c r="I23">
        <f>ROUND(MAX(0,IF(ROW()=15,0,J22)-G23),0)</f>
        <v>16</v>
      </c>
      <c r="J23">
        <f>ROUND(MAX(G23,D23*E23),0)</f>
        <v>44</v>
      </c>
      <c r="K23">
        <f>$B$11</f>
        <v>20</v>
      </c>
      <c r="L23">
        <f>ROUND(J23*K23,2)</f>
        <v>880</v>
      </c>
    </row>
    <row r="24">
      <c r="A24" t="inlineStr">
        <is>
          <t>2026-12-01</t>
        </is>
      </c>
      <c r="B24">
        <v>1</v>
      </c>
      <c r="C24" t="inlineStr">
        <is>
          <t>phase_1_user_growth</t>
        </is>
      </c>
      <c r="D24">
        <f>'MAU'!$F28</f>
        <v>4998</v>
      </c>
      <c r="E24">
        <f>E23+($B$6-E23)*$B$7</f>
        <v>0.017</v>
      </c>
      <c r="F24">
        <f>F23+($B$9-F23)*$B$10</f>
        <v>0.4281</v>
      </c>
      <c r="G24">
        <f>ROUND(IF(ROW()=15,0,J23)*F24,0)</f>
        <v>19</v>
      </c>
      <c r="H24">
        <f>ROUND(MAX(0,J24-G24),0)</f>
        <v>66</v>
      </c>
      <c r="I24">
        <f>ROUND(MAX(0,IF(ROW()=15,0,J23)-G24),0)</f>
        <v>25</v>
      </c>
      <c r="J24">
        <f>ROUND(MAX(G24,D24*E24),0)</f>
        <v>85</v>
      </c>
      <c r="K24">
        <f>$B$11</f>
        <v>20</v>
      </c>
      <c r="L24">
        <f>ROUND(J24*K24,2)</f>
        <v>1700</v>
      </c>
    </row>
    <row r="25">
      <c r="A25" t="inlineStr">
        <is>
          <t>2027-01-01</t>
        </is>
      </c>
      <c r="B25">
        <v>1</v>
      </c>
      <c r="C25" t="inlineStr">
        <is>
          <t>phase_1_user_growth</t>
        </is>
      </c>
      <c r="D25">
        <f>'MAU'!$F29</f>
        <v>3060</v>
      </c>
      <c r="E25">
        <f>E24+($B$6-E24)*$B$7</f>
        <v>0.0176</v>
      </c>
      <c r="F25">
        <f>F24+($B$9-F24)*$B$10</f>
        <v>0.4384</v>
      </c>
      <c r="G25">
        <f>ROUND(IF(ROW()=15,0,J24)*F25,0)</f>
        <v>37</v>
      </c>
      <c r="H25">
        <f>ROUND(MAX(0,J25-G25),0)</f>
        <v>17</v>
      </c>
      <c r="I25">
        <f>ROUND(MAX(0,IF(ROW()=15,0,J24)-G25),0)</f>
        <v>48</v>
      </c>
      <c r="J25">
        <f>ROUND(MAX(G25,D25*E25),0)</f>
        <v>54</v>
      </c>
      <c r="K25">
        <f>$B$11</f>
        <v>20</v>
      </c>
      <c r="L25">
        <f>ROUND(J25*K25,2)</f>
        <v>1080</v>
      </c>
    </row>
    <row r="26">
      <c r="A26" t="inlineStr">
        <is>
          <t>2027-02-01</t>
        </is>
      </c>
      <c r="B26">
        <v>1</v>
      </c>
      <c r="C26" t="inlineStr">
        <is>
          <t>phase_1_user_growth</t>
        </is>
      </c>
      <c r="D26">
        <f>'MAU'!$F30</f>
        <v>3254</v>
      </c>
      <c r="E26">
        <f>E25+($B$6-E25)*$B$7</f>
        <v>0.0182</v>
      </c>
      <c r="F26">
        <f>F25+($B$9-F25)*$B$10</f>
        <v>0.4481</v>
      </c>
      <c r="G26">
        <f>ROUND(IF(ROW()=15,0,J25)*F26,0)</f>
        <v>24</v>
      </c>
      <c r="H26">
        <f>ROUND(MAX(0,J26-G26),0)</f>
        <v>35</v>
      </c>
      <c r="I26">
        <f>ROUND(MAX(0,IF(ROW()=15,0,J25)-G26),0)</f>
        <v>30</v>
      </c>
      <c r="J26">
        <f>ROUND(MAX(G26,D26*E26),0)</f>
        <v>59</v>
      </c>
      <c r="K26">
        <f>$B$11</f>
        <v>20</v>
      </c>
      <c r="L26">
        <f>ROUND(J26*K26,2)</f>
        <v>1180</v>
      </c>
    </row>
    <row r="27">
      <c r="A27" t="inlineStr">
        <is>
          <t>2027-03-01</t>
        </is>
      </c>
      <c r="B27">
        <v>2</v>
      </c>
      <c r="C27" t="inlineStr">
        <is>
          <t>phase_2_marketplace_activation</t>
        </is>
      </c>
      <c r="D27">
        <f>'MAU'!$F31</f>
        <v>3008</v>
      </c>
      <c r="E27">
        <f>E26+($B$6-E26)*$B$7</f>
        <v>0.0187</v>
      </c>
      <c r="F27">
        <f>F26+($B$9-F26)*$B$10</f>
        <v>0.4572</v>
      </c>
      <c r="G27">
        <f>ROUND(IF(ROW()=15,0,J26)*F27,0)</f>
        <v>27</v>
      </c>
      <c r="H27">
        <f>ROUND(MAX(0,J27-G27),0)</f>
        <v>29</v>
      </c>
      <c r="I27">
        <f>ROUND(MAX(0,IF(ROW()=15,0,J26)-G27),0)</f>
        <v>32</v>
      </c>
      <c r="J27">
        <f>ROUND(MAX(G27,D27*E27),0)</f>
        <v>56</v>
      </c>
      <c r="K27">
        <f>$B$11</f>
        <v>20</v>
      </c>
      <c r="L27">
        <f>ROUND(J27*K27,2)</f>
        <v>1120</v>
      </c>
    </row>
    <row r="28">
      <c r="A28" t="inlineStr">
        <is>
          <t>2027-04-01</t>
        </is>
      </c>
      <c r="B28">
        <v>2</v>
      </c>
      <c r="C28" t="inlineStr">
        <is>
          <t>phase_2_marketplace_activation</t>
        </is>
      </c>
      <c r="D28">
        <f>'MAU'!$F32</f>
        <v>3144</v>
      </c>
      <c r="E28">
        <f>E27+($B$6-E27)*$B$7</f>
        <v>0.0192</v>
      </c>
      <c r="F28">
        <f>F27+($B$9-F27)*$B$10</f>
        <v>0.4658</v>
      </c>
      <c r="G28">
        <f>ROUND(IF(ROW()=15,0,J27)*F28,0)</f>
        <v>26</v>
      </c>
      <c r="H28">
        <f>ROUND(MAX(0,J28-G28),0)</f>
        <v>34</v>
      </c>
      <c r="I28">
        <f>ROUND(MAX(0,IF(ROW()=15,0,J27)-G28),0)</f>
        <v>30</v>
      </c>
      <c r="J28">
        <f>ROUND(MAX(G28,D28*E28),0)</f>
        <v>61</v>
      </c>
      <c r="K28">
        <f>$B$11</f>
        <v>20</v>
      </c>
      <c r="L28">
        <f>ROUND(J28*K28,2)</f>
        <v>1220</v>
      </c>
    </row>
    <row r="29">
      <c r="A29" t="inlineStr">
        <is>
          <t>2027-05-01</t>
        </is>
      </c>
      <c r="B29">
        <v>2</v>
      </c>
      <c r="C29" t="inlineStr">
        <is>
          <t>phase_2_marketplace_activation</t>
        </is>
      </c>
      <c r="D29">
        <f>'MAU'!$F33</f>
        <v>3735</v>
      </c>
      <c r="E29">
        <f>E28+($B$6-E28)*$B$7</f>
        <v>0.0197</v>
      </c>
      <c r="F29">
        <f>F28+($B$9-F28)*$B$10</f>
        <v>0.4738</v>
      </c>
      <c r="G29">
        <f>ROUND(IF(ROW()=15,0,J28)*F29,0)</f>
        <v>29</v>
      </c>
      <c r="H29">
        <f>ROUND(MAX(0,J29-G29),0)</f>
        <v>45</v>
      </c>
      <c r="I29">
        <f>ROUND(MAX(0,IF(ROW()=15,0,J28)-G29),0)</f>
        <v>32</v>
      </c>
      <c r="J29">
        <f>ROUND(MAX(G29,D29*E29),0)</f>
        <v>74</v>
      </c>
      <c r="K29">
        <f>$B$11</f>
        <v>20</v>
      </c>
      <c r="L29">
        <f>ROUND(J29*K29,2)</f>
        <v>1480</v>
      </c>
    </row>
    <row r="30">
      <c r="A30" t="inlineStr">
        <is>
          <t>2027-06-01</t>
        </is>
      </c>
      <c r="B30">
        <v>2</v>
      </c>
      <c r="C30" t="inlineStr">
        <is>
          <t>phase_2_marketplace_activation</t>
        </is>
      </c>
      <c r="D30">
        <f>'MAU'!$F34</f>
        <v>3796</v>
      </c>
      <c r="E30">
        <f>E29+($B$6-E29)*$B$7</f>
        <v>0.0201</v>
      </c>
      <c r="F30">
        <f>F29+($B$9-F29)*$B$10</f>
        <v>0.4814</v>
      </c>
      <c r="G30">
        <f>ROUND(IF(ROW()=15,0,J29)*F30,0)</f>
        <v>35</v>
      </c>
      <c r="H30">
        <f>ROUND(MAX(0,J30-G30),0)</f>
        <v>41</v>
      </c>
      <c r="I30">
        <f>ROUND(MAX(0,IF(ROW()=15,0,J29)-G30),0)</f>
        <v>38</v>
      </c>
      <c r="J30">
        <f>ROUND(MAX(G30,D30*E30),0)</f>
        <v>76</v>
      </c>
      <c r="K30">
        <f>$B$11</f>
        <v>20</v>
      </c>
      <c r="L30">
        <f>ROUND(J30*K30,2)</f>
        <v>1520</v>
      </c>
    </row>
    <row r="31">
      <c r="A31" t="inlineStr">
        <is>
          <t>2027-07-01</t>
        </is>
      </c>
      <c r="B31">
        <v>2</v>
      </c>
      <c r="C31" t="inlineStr">
        <is>
          <t>phase_2_marketplace_activation</t>
        </is>
      </c>
      <c r="D31">
        <f>'MAU'!$F35</f>
        <v>4046</v>
      </c>
      <c r="E31">
        <f>E30+($B$6-E30)*$B$7</f>
        <v>0.0205</v>
      </c>
      <c r="F31">
        <f>F30+($B$9-F30)*$B$10</f>
        <v>0.4885</v>
      </c>
      <c r="G31">
        <f>ROUND(IF(ROW()=15,0,J30)*F31,0)</f>
        <v>37</v>
      </c>
      <c r="H31">
        <f>ROUND(MAX(0,J31-G31),0)</f>
        <v>46</v>
      </c>
      <c r="I31">
        <f>ROUND(MAX(0,IF(ROW()=15,0,J30)-G31),0)</f>
        <v>39</v>
      </c>
      <c r="J31">
        <f>ROUND(MAX(G31,D31*E31),0)</f>
        <v>83</v>
      </c>
      <c r="K31">
        <f>$B$11</f>
        <v>20</v>
      </c>
      <c r="L31">
        <f>ROUND(J31*K31,2)</f>
        <v>1660</v>
      </c>
    </row>
    <row r="32">
      <c r="A32" t="inlineStr">
        <is>
          <t>2027-08-01</t>
        </is>
      </c>
      <c r="B32">
        <v>2</v>
      </c>
      <c r="C32" t="inlineStr">
        <is>
          <t>phase_2_marketplace_activation</t>
        </is>
      </c>
      <c r="D32">
        <f>'MAU'!$F36</f>
        <v>4196</v>
      </c>
      <c r="E32">
        <f>E31+($B$6-E31)*$B$7</f>
        <v>0.0209</v>
      </c>
      <c r="F32">
        <f>F31+($B$9-F31)*$B$10</f>
        <v>0.4952</v>
      </c>
      <c r="G32">
        <f>ROUND(IF(ROW()=15,0,J31)*F32,0)</f>
        <v>41</v>
      </c>
      <c r="H32">
        <f>ROUND(MAX(0,J32-G32),0)</f>
        <v>46</v>
      </c>
      <c r="I32">
        <f>ROUND(MAX(0,IF(ROW()=15,0,J31)-G32),0)</f>
        <v>42</v>
      </c>
      <c r="J32">
        <f>ROUND(MAX(G32,D32*E32),0)</f>
        <v>88</v>
      </c>
      <c r="K32">
        <f>$B$11</f>
        <v>20</v>
      </c>
      <c r="L32">
        <f>ROUND(J32*K32,2)</f>
        <v>1760</v>
      </c>
    </row>
    <row r="33">
      <c r="A33" t="inlineStr">
        <is>
          <t>2027-09-01</t>
        </is>
      </c>
      <c r="B33">
        <v>2</v>
      </c>
      <c r="C33" t="inlineStr">
        <is>
          <t>phase_2_marketplace_activation</t>
        </is>
      </c>
      <c r="D33">
        <f>'MAU'!$F37</f>
        <v>4401</v>
      </c>
      <c r="E33">
        <f>E32+($B$6-E32)*$B$7</f>
        <v>0.0212</v>
      </c>
      <c r="F33">
        <f>F32+($B$9-F32)*$B$10</f>
        <v>0.5015</v>
      </c>
      <c r="G33">
        <f>ROUND(IF(ROW()=15,0,J32)*F33,0)</f>
        <v>44</v>
      </c>
      <c r="H33">
        <f>ROUND(MAX(0,J33-G33),0)</f>
        <v>49</v>
      </c>
      <c r="I33">
        <f>ROUND(MAX(0,IF(ROW()=15,0,J32)-G33),0)</f>
        <v>44</v>
      </c>
      <c r="J33">
        <f>ROUND(MAX(G33,D33*E33),0)</f>
        <v>93</v>
      </c>
      <c r="K33">
        <f>$B$11</f>
        <v>20</v>
      </c>
      <c r="L33">
        <f>ROUND(J33*K33,2)</f>
        <v>1860</v>
      </c>
    </row>
    <row r="34">
      <c r="A34" t="inlineStr">
        <is>
          <t>2027-10-01</t>
        </is>
      </c>
      <c r="B34">
        <v>2</v>
      </c>
      <c r="C34" t="inlineStr">
        <is>
          <t>phase_2_marketplace_activation</t>
        </is>
      </c>
      <c r="D34">
        <f>'MAU'!$F38</f>
        <v>4778</v>
      </c>
      <c r="E34">
        <f>E33+($B$6-E33)*$B$7</f>
        <v>0.0215</v>
      </c>
      <c r="F34">
        <f>F33+($B$9-F33)*$B$10</f>
        <v>0.5074</v>
      </c>
      <c r="G34">
        <f>ROUND(IF(ROW()=15,0,J33)*F34,0)</f>
        <v>47</v>
      </c>
      <c r="H34">
        <f>ROUND(MAX(0,J34-G34),0)</f>
        <v>55</v>
      </c>
      <c r="I34">
        <f>ROUND(MAX(0,IF(ROW()=15,0,J33)-G34),0)</f>
        <v>46</v>
      </c>
      <c r="J34">
        <f>ROUND(MAX(G34,D34*E34),0)</f>
        <v>103</v>
      </c>
      <c r="K34">
        <f>$B$11</f>
        <v>20</v>
      </c>
      <c r="L34">
        <f>ROUND(J34*K34,2)</f>
        <v>2060</v>
      </c>
    </row>
    <row r="35">
      <c r="A35" t="inlineStr">
        <is>
          <t>2027-11-01</t>
        </is>
      </c>
      <c r="B35">
        <v>2</v>
      </c>
      <c r="C35" t="inlineStr">
        <is>
          <t>phase_2_marketplace_activation</t>
        </is>
      </c>
      <c r="D35">
        <f>'MAU'!$F39</f>
        <v>6335</v>
      </c>
      <c r="E35">
        <f>E34+($B$6-E34)*$B$7</f>
        <v>0.0218</v>
      </c>
      <c r="F35">
        <f>F34+($B$9-F34)*$B$10</f>
        <v>0.513</v>
      </c>
      <c r="G35">
        <f>ROUND(IF(ROW()=15,0,J34)*F35,0)</f>
        <v>53</v>
      </c>
      <c r="H35">
        <f>ROUND(MAX(0,J35-G35),0)</f>
        <v>85</v>
      </c>
      <c r="I35">
        <f>ROUND(MAX(0,IF(ROW()=15,0,J34)-G35),0)</f>
        <v>50</v>
      </c>
      <c r="J35">
        <f>ROUND(MAX(G35,D35*E35),0)</f>
        <v>138</v>
      </c>
      <c r="K35">
        <f>$B$11</f>
        <v>20</v>
      </c>
      <c r="L35">
        <f>ROUND(J35*K35,2)</f>
        <v>2760</v>
      </c>
    </row>
    <row r="36">
      <c r="A36" t="inlineStr">
        <is>
          <t>2027-12-01</t>
        </is>
      </c>
      <c r="B36">
        <v>2</v>
      </c>
      <c r="C36" t="inlineStr">
        <is>
          <t>phase_2_marketplace_activation</t>
        </is>
      </c>
      <c r="D36">
        <f>'MAU'!$F40</f>
        <v>10901</v>
      </c>
      <c r="E36">
        <f>E35+($B$6-E35)*$B$7</f>
        <v>0.022</v>
      </c>
      <c r="F36">
        <f>F35+($B$9-F35)*$B$10</f>
        <v>0.5182</v>
      </c>
      <c r="G36">
        <f>ROUND(IF(ROW()=15,0,J35)*F36,0)</f>
        <v>72</v>
      </c>
      <c r="H36">
        <f>ROUND(MAX(0,J36-G36),0)</f>
        <v>169</v>
      </c>
      <c r="I36">
        <f>ROUND(MAX(0,IF(ROW()=15,0,J35)-G36),0)</f>
        <v>67</v>
      </c>
      <c r="J36">
        <f>ROUND(MAX(G36,D36*E36),0)</f>
        <v>240</v>
      </c>
      <c r="K36">
        <f>$B$11</f>
        <v>20</v>
      </c>
      <c r="L36">
        <f>ROUND(J36*K36,2)</f>
        <v>4800</v>
      </c>
    </row>
    <row r="37">
      <c r="A37" t="inlineStr">
        <is>
          <t>2028-01-01</t>
        </is>
      </c>
      <c r="B37">
        <v>2</v>
      </c>
      <c r="C37" t="inlineStr">
        <is>
          <t>phase_2_marketplace_activation</t>
        </is>
      </c>
      <c r="D37">
        <f>'MAU'!$F41</f>
        <v>6677</v>
      </c>
      <c r="E37">
        <f>E36+($B$6-E36)*$B$7</f>
        <v>0.0223</v>
      </c>
      <c r="F37">
        <f>F36+($B$9-F36)*$B$10</f>
        <v>0.5231</v>
      </c>
      <c r="G37">
        <f>ROUND(IF(ROW()=15,0,J36)*F37,0)</f>
        <v>126</v>
      </c>
      <c r="H37">
        <f>ROUND(MAX(0,J37-G37),0)</f>
        <v>23</v>
      </c>
      <c r="I37">
        <f>ROUND(MAX(0,IF(ROW()=15,0,J36)-G37),0)</f>
        <v>115</v>
      </c>
      <c r="J37">
        <f>ROUND(MAX(G37,D37*E37),0)</f>
        <v>149</v>
      </c>
      <c r="K37">
        <f>$B$11</f>
        <v>20</v>
      </c>
      <c r="L37">
        <f>ROUND(J37*K37,2)</f>
        <v>2980</v>
      </c>
    </row>
    <row r="38">
      <c r="A38" t="inlineStr">
        <is>
          <t>2028-02-01</t>
        </is>
      </c>
      <c r="B38">
        <v>2</v>
      </c>
      <c r="C38" t="inlineStr">
        <is>
          <t>phase_2_marketplace_activation</t>
        </is>
      </c>
      <c r="D38">
        <f>'MAU'!$F42</f>
        <v>6773</v>
      </c>
      <c r="E38">
        <f>E37+($B$6-E37)*$B$7</f>
        <v>0.0225</v>
      </c>
      <c r="F38">
        <f>F37+($B$9-F37)*$B$10</f>
        <v>0.5277</v>
      </c>
      <c r="G38">
        <f>ROUND(IF(ROW()=15,0,J37)*F38,0)</f>
        <v>79</v>
      </c>
      <c r="H38">
        <f>ROUND(MAX(0,J38-G38),0)</f>
        <v>74</v>
      </c>
      <c r="I38">
        <f>ROUND(MAX(0,IF(ROW()=15,0,J37)-G38),0)</f>
        <v>70</v>
      </c>
      <c r="J38">
        <f>ROUND(MAX(G38,D38*E38),0)</f>
        <v>152</v>
      </c>
      <c r="K38">
        <f>$B$11</f>
        <v>20</v>
      </c>
      <c r="L38">
        <f>ROUND(J38*K38,2)</f>
        <v>3040</v>
      </c>
    </row>
    <row r="39">
      <c r="A39" t="inlineStr">
        <is>
          <t>2028-03-01</t>
        </is>
      </c>
      <c r="B39">
        <v>3</v>
      </c>
      <c r="C39" t="inlineStr">
        <is>
          <t>phase_3_projection</t>
        </is>
      </c>
      <c r="D39">
        <f>'MAU'!$F43</f>
        <v>6318</v>
      </c>
      <c r="E39">
        <f>E38+($B$6-E38)*$B$7</f>
        <v>0.0227</v>
      </c>
      <c r="F39">
        <f>F38+($B$9-F38)*$B$10</f>
        <v>0.532</v>
      </c>
      <c r="G39">
        <f>ROUND(IF(ROW()=15,0,J38)*F39,0)</f>
        <v>81</v>
      </c>
      <c r="H39">
        <f>ROUND(MAX(0,J39-G39),0)</f>
        <v>62</v>
      </c>
      <c r="I39">
        <f>ROUND(MAX(0,IF(ROW()=15,0,J38)-G39),0)</f>
        <v>71</v>
      </c>
      <c r="J39">
        <f>ROUND(MAX(G39,D39*E39),0)</f>
        <v>143</v>
      </c>
      <c r="K39">
        <f>$B$11</f>
        <v>20</v>
      </c>
      <c r="L39">
        <f>ROUND(J39*K39,2)</f>
        <v>2860</v>
      </c>
    </row>
    <row r="40">
      <c r="A40" t="inlineStr">
        <is>
          <t>2028-04-01</t>
        </is>
      </c>
      <c r="B40">
        <v>3</v>
      </c>
      <c r="C40" t="inlineStr">
        <is>
          <t>phase_3_projection</t>
        </is>
      </c>
      <c r="D40">
        <f>'MAU'!$F44</f>
        <v>6516</v>
      </c>
      <c r="E40">
        <f>E39+($B$6-E39)*$B$7</f>
        <v>0.0229</v>
      </c>
      <c r="F40">
        <f>F39+($B$9-F39)*$B$10</f>
        <v>0.5361</v>
      </c>
      <c r="G40">
        <f>ROUND(IF(ROW()=15,0,J39)*F40,0)</f>
        <v>77</v>
      </c>
      <c r="H40">
        <f>ROUND(MAX(0,J40-G40),0)</f>
        <v>72</v>
      </c>
      <c r="I40">
        <f>ROUND(MAX(0,IF(ROW()=15,0,J39)-G40),0)</f>
        <v>67</v>
      </c>
      <c r="J40">
        <f>ROUND(MAX(G40,D40*E40),0)</f>
        <v>149</v>
      </c>
      <c r="K40">
        <f>$B$11</f>
        <v>20</v>
      </c>
      <c r="L40">
        <f>ROUND(J40*K40,2)</f>
        <v>2980</v>
      </c>
    </row>
    <row r="41">
      <c r="A41" t="inlineStr">
        <is>
          <t>2028-05-01</t>
        </is>
      </c>
      <c r="B41">
        <v>3</v>
      </c>
      <c r="C41" t="inlineStr">
        <is>
          <t>phase_3_projection</t>
        </is>
      </c>
      <c r="D41">
        <f>'MAU'!$F45</f>
        <v>7355</v>
      </c>
      <c r="E41">
        <f>E40+($B$6-E40)*$B$7</f>
        <v>0.0231</v>
      </c>
      <c r="F41">
        <f>F40+($B$9-F40)*$B$10</f>
        <v>0.54</v>
      </c>
      <c r="G41">
        <f>ROUND(IF(ROW()=15,0,J40)*F41,0)</f>
        <v>81</v>
      </c>
      <c r="H41">
        <f>ROUND(MAX(0,J41-G41),0)</f>
        <v>89</v>
      </c>
      <c r="I41">
        <f>ROUND(MAX(0,IF(ROW()=15,0,J40)-G41),0)</f>
        <v>69</v>
      </c>
      <c r="J41">
        <f>ROUND(MAX(G41,D41*E41),0)</f>
        <v>170</v>
      </c>
      <c r="K41">
        <f>$B$11</f>
        <v>20</v>
      </c>
      <c r="L41">
        <f>ROUND(J41*K41,2)</f>
        <v>3400</v>
      </c>
    </row>
    <row r="42">
      <c r="A42" t="inlineStr">
        <is>
          <t>2028-06-01</t>
        </is>
      </c>
      <c r="B42">
        <v>3</v>
      </c>
      <c r="C42" t="inlineStr">
        <is>
          <t>phase_3_projection</t>
        </is>
      </c>
      <c r="D42">
        <f>'MAU'!$F46</f>
        <v>7211</v>
      </c>
      <c r="E42">
        <f>E41+($B$6-E41)*$B$7</f>
        <v>0.0232</v>
      </c>
      <c r="F42">
        <f>F41+($B$9-F41)*$B$10</f>
        <v>0.5436</v>
      </c>
      <c r="G42">
        <f>ROUND(IF(ROW()=15,0,J41)*F42,0)</f>
        <v>92</v>
      </c>
      <c r="H42">
        <f>ROUND(MAX(0,J42-G42),0)</f>
        <v>75</v>
      </c>
      <c r="I42">
        <f>ROUND(MAX(0,IF(ROW()=15,0,J41)-G42),0)</f>
        <v>77</v>
      </c>
      <c r="J42">
        <f>ROUND(MAX(G42,D42*E42),0)</f>
        <v>167</v>
      </c>
      <c r="K42">
        <f>$B$11</f>
        <v>20</v>
      </c>
      <c r="L42">
        <f>ROUND(J42*K42,2)</f>
        <v>3340</v>
      </c>
    </row>
    <row r="43">
      <c r="A43" t="inlineStr">
        <is>
          <t>2028-07-01</t>
        </is>
      </c>
      <c r="B43">
        <v>3</v>
      </c>
      <c r="C43" t="inlineStr">
        <is>
          <t>phase_3_projection</t>
        </is>
      </c>
      <c r="D43">
        <f>'MAU'!$F47</f>
        <v>7422</v>
      </c>
      <c r="E43">
        <f>E42+($B$6-E42)*$B$7</f>
        <v>0.0234</v>
      </c>
      <c r="F43">
        <f>F42+($B$9-F42)*$B$10</f>
        <v>0.5469</v>
      </c>
      <c r="G43">
        <f>ROUND(IF(ROW()=15,0,J42)*F43,0)</f>
        <v>92</v>
      </c>
      <c r="H43">
        <f>ROUND(MAX(0,J43-G43),0)</f>
        <v>82</v>
      </c>
      <c r="I43">
        <f>ROUND(MAX(0,IF(ROW()=15,0,J42)-G43),0)</f>
        <v>76</v>
      </c>
      <c r="J43">
        <f>ROUND(MAX(G43,D43*E43),0)</f>
        <v>173</v>
      </c>
      <c r="K43">
        <f>$B$11</f>
        <v>20</v>
      </c>
      <c r="L43">
        <f>ROUND(J43*K43,2)</f>
        <v>3460</v>
      </c>
    </row>
    <row r="44">
      <c r="A44" t="inlineStr">
        <is>
          <t>2028-08-01</t>
        </is>
      </c>
      <c r="B44">
        <v>3</v>
      </c>
      <c r="C44" t="inlineStr">
        <is>
          <t>phase_3_projection</t>
        </is>
      </c>
      <c r="D44">
        <f>'MAU'!$F48</f>
        <v>7654</v>
      </c>
      <c r="E44">
        <f>E43+($B$6-E43)*$B$7</f>
        <v>0.0235</v>
      </c>
      <c r="F44">
        <f>F43+($B$9-F43)*$B$10</f>
        <v>0.5501</v>
      </c>
      <c r="G44">
        <f>ROUND(IF(ROW()=15,0,J43)*F44,0)</f>
        <v>95</v>
      </c>
      <c r="H44">
        <f>ROUND(MAX(0,J44-G44),0)</f>
        <v>84</v>
      </c>
      <c r="I44">
        <f>ROUND(MAX(0,IF(ROW()=15,0,J43)-G44),0)</f>
        <v>78</v>
      </c>
      <c r="J44">
        <f>ROUND(MAX(G44,D44*E44),0)</f>
        <v>180</v>
      </c>
      <c r="K44">
        <f>$B$11</f>
        <v>20</v>
      </c>
      <c r="L44">
        <f>ROUND(J44*K44,2)</f>
        <v>3600</v>
      </c>
    </row>
    <row r="45">
      <c r="A45" t="inlineStr">
        <is>
          <t>2028-09-01</t>
        </is>
      </c>
      <c r="B45">
        <v>3</v>
      </c>
      <c r="C45" t="inlineStr">
        <is>
          <t>phase_3_projection</t>
        </is>
      </c>
      <c r="D45">
        <f>'MAU'!$F49</f>
        <v>7705</v>
      </c>
      <c r="E45">
        <f>E44+($B$6-E44)*$B$7</f>
        <v>0.0236</v>
      </c>
      <c r="F45">
        <f>F44+($B$9-F44)*$B$10</f>
        <v>0.5531</v>
      </c>
      <c r="G45">
        <f>ROUND(IF(ROW()=15,0,J44)*F45,0)</f>
        <v>99</v>
      </c>
      <c r="H45">
        <f>ROUND(MAX(0,J45-G45),0)</f>
        <v>82</v>
      </c>
      <c r="I45">
        <f>ROUND(MAX(0,IF(ROW()=15,0,J44)-G45),0)</f>
        <v>80</v>
      </c>
      <c r="J45">
        <f>ROUND(MAX(G45,D45*E45),0)</f>
        <v>182</v>
      </c>
      <c r="K45">
        <f>$B$11</f>
        <v>20</v>
      </c>
      <c r="L45">
        <f>ROUND(J45*K45,2)</f>
        <v>3640</v>
      </c>
    </row>
    <row r="46">
      <c r="A46" t="inlineStr">
        <is>
          <t>2028-10-01</t>
        </is>
      </c>
      <c r="B46">
        <v>3</v>
      </c>
      <c r="C46" t="inlineStr">
        <is>
          <t>phase_3_projection</t>
        </is>
      </c>
      <c r="D46">
        <f>'MAU'!$F50</f>
        <v>8190</v>
      </c>
      <c r="E46">
        <f>E45+($B$6-E45)*$B$7</f>
        <v>0.0237</v>
      </c>
      <c r="F46">
        <f>F45+($B$9-F45)*$B$10</f>
        <v>0.5559</v>
      </c>
      <c r="G46">
        <f>ROUND(IF(ROW()=15,0,J45)*F46,0)</f>
        <v>101</v>
      </c>
      <c r="H46">
        <f>ROUND(MAX(0,J46-G46),0)</f>
        <v>93</v>
      </c>
      <c r="I46">
        <f>ROUND(MAX(0,IF(ROW()=15,0,J45)-G46),0)</f>
        <v>81</v>
      </c>
      <c r="J46">
        <f>ROUND(MAX(G46,D46*E46),0)</f>
        <v>194</v>
      </c>
      <c r="K46">
        <f>$B$11</f>
        <v>20</v>
      </c>
      <c r="L46">
        <f>ROUND(J46*K46,2)</f>
        <v>3880</v>
      </c>
    </row>
    <row r="47">
      <c r="A47" t="inlineStr">
        <is>
          <t>2028-11-01</t>
        </is>
      </c>
      <c r="B47">
        <v>3</v>
      </c>
      <c r="C47" t="inlineStr">
        <is>
          <t>phase_3_projection</t>
        </is>
      </c>
      <c r="D47">
        <f>'MAU'!$F51</f>
        <v>10575</v>
      </c>
      <c r="E47">
        <f>E46+($B$6-E46)*$B$7</f>
        <v>0.0238</v>
      </c>
      <c r="F47">
        <f>F46+($B$9-F46)*$B$10</f>
        <v>0.5586</v>
      </c>
      <c r="G47">
        <f>ROUND(IF(ROW()=15,0,J46)*F47,0)</f>
        <v>109</v>
      </c>
      <c r="H47">
        <f>ROUND(MAX(0,J47-G47),0)</f>
        <v>143</v>
      </c>
      <c r="I47">
        <f>ROUND(MAX(0,IF(ROW()=15,0,J46)-G47),0)</f>
        <v>86</v>
      </c>
      <c r="J47">
        <f>ROUND(MAX(G47,D47*E47),0)</f>
        <v>252</v>
      </c>
      <c r="K47">
        <f>$B$11</f>
        <v>20</v>
      </c>
      <c r="L47">
        <f>ROUND(J47*K47,2)</f>
        <v>5040</v>
      </c>
    </row>
    <row r="48">
      <c r="A48" t="inlineStr">
        <is>
          <t>2028-12-01</t>
        </is>
      </c>
      <c r="B48">
        <v>3</v>
      </c>
      <c r="C48" t="inlineStr">
        <is>
          <t>phase_3_projection</t>
        </is>
      </c>
      <c r="D48">
        <f>'MAU'!$F52</f>
        <v>16835</v>
      </c>
      <c r="E48">
        <f>E47+($B$6-E47)*$B$7</f>
        <v>0.0239</v>
      </c>
      <c r="F48">
        <f>F47+($B$9-F47)*$B$10</f>
        <v>0.5611</v>
      </c>
      <c r="G48">
        <f>ROUND(IF(ROW()=15,0,J47)*F48,0)</f>
        <v>141</v>
      </c>
      <c r="H48">
        <f>ROUND(MAX(0,J48-G48),0)</f>
        <v>261</v>
      </c>
      <c r="I48">
        <f>ROUND(MAX(0,IF(ROW()=15,0,J47)-G48),0)</f>
        <v>111</v>
      </c>
      <c r="J48">
        <f>ROUND(MAX(G48,D48*E48),0)</f>
        <v>403</v>
      </c>
      <c r="K48">
        <f>$B$11</f>
        <v>20</v>
      </c>
      <c r="L48">
        <f>ROUND(J48*K48,2)</f>
        <v>8060</v>
      </c>
    </row>
    <row r="49">
      <c r="A49" t="inlineStr">
        <is>
          <t>2029-01-01</t>
        </is>
      </c>
      <c r="B49">
        <v>3</v>
      </c>
      <c r="C49" t="inlineStr">
        <is>
          <t>phase_3_projection</t>
        </is>
      </c>
      <c r="D49">
        <f>'MAU'!$F53</f>
        <v>10697</v>
      </c>
      <c r="E49">
        <f>E48+($B$6-E48)*$B$7</f>
        <v>0.024</v>
      </c>
      <c r="F49">
        <f>F48+($B$9-F48)*$B$10</f>
        <v>0.5634</v>
      </c>
      <c r="G49">
        <f>ROUND(IF(ROW()=15,0,J48)*F49,0)</f>
        <v>227</v>
      </c>
      <c r="H49">
        <f>ROUND(MAX(0,J49-G49),0)</f>
        <v>30</v>
      </c>
      <c r="I49">
        <f>ROUND(MAX(0,IF(ROW()=15,0,J48)-G49),0)</f>
        <v>176</v>
      </c>
      <c r="J49">
        <f>ROUND(MAX(G49,D49*E49),0)</f>
        <v>257</v>
      </c>
      <c r="K49">
        <f>$B$11</f>
        <v>20</v>
      </c>
      <c r="L49">
        <f>ROUND(J49*K49,2)</f>
        <v>5140</v>
      </c>
    </row>
    <row r="50">
      <c r="A50" t="inlineStr">
        <is>
          <t>2029-02-01</t>
        </is>
      </c>
      <c r="B50">
        <v>3</v>
      </c>
      <c r="C50" t="inlineStr">
        <is>
          <t>phase_3_projection</t>
        </is>
      </c>
      <c r="D50">
        <f>'MAU'!$F54</f>
        <v>10788</v>
      </c>
      <c r="E50">
        <f>E49+($B$6-E49)*$B$7</f>
        <v>0.0241</v>
      </c>
      <c r="F50">
        <f>F49+($B$9-F49)*$B$10</f>
        <v>0.5656</v>
      </c>
      <c r="G50">
        <f>ROUND(IF(ROW()=15,0,J49)*F50,0)</f>
        <v>145</v>
      </c>
      <c r="H50">
        <f>ROUND(MAX(0,J50-G50),0)</f>
        <v>115</v>
      </c>
      <c r="I50">
        <f>ROUND(MAX(0,IF(ROW()=15,0,J49)-G50),0)</f>
        <v>112</v>
      </c>
      <c r="J50">
        <f>ROUND(MAX(G50,D50*E50),0)</f>
        <v>260</v>
      </c>
      <c r="K50">
        <f>$B$11</f>
        <v>20</v>
      </c>
      <c r="L50">
        <f>ROUND(J50*K50,2)</f>
        <v>5200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>
      <c r="A1" t="inlineStr">
        <is>
          <t>[Ads Assumptions]</t>
        </is>
      </c>
      <c r="B1" t="inlineStr">
        <is>
          <t/>
        </is>
      </c>
      <c r="C1" t="inlineStr">
        <is>
          <t>Inputs used by the ad revenue projection below.</t>
        </is>
      </c>
    </row>
    <row r="2">
      <c r="A2" t="inlineStr">
        <is>
          <t>name</t>
        </is>
      </c>
      <c r="B2" t="inlineStr">
        <is>
          <t>value</t>
        </is>
      </c>
      <c r="C2" t="inlineStr">
        <is>
          <t>details</t>
        </is>
      </c>
    </row>
    <row r="3">
      <c r="A3" t="inlineStr">
        <is>
          <t>projection_months</t>
        </is>
      </c>
      <c r="B3">
        <v>36</v>
      </c>
      <c r="C3" t="inlineStr">
        <is>
          <t>Number of projected monthly rows in the workbook model.</t>
        </is>
      </c>
    </row>
    <row r="4">
      <c r="A4" t="inlineStr">
        <is>
          <t>projection_start_month</t>
        </is>
      </c>
      <c r="B4" t="inlineStr">
        <is>
          <t>2026-03</t>
        </is>
      </c>
      <c r="C4" t="inlineStr">
        <is>
          <t>First month of the synthetic projection in YYYY-MM format.</t>
        </is>
      </c>
    </row>
    <row r="5">
      <c r="A5" t="inlineStr">
        <is>
          <t>sessions_per_mau</t>
        </is>
      </c>
      <c r="B5">
        <v>3</v>
      </c>
      <c r="C5" t="inlineStr">
        <is>
          <t>Monthly sessions generated by each monthly active user.</t>
        </is>
      </c>
    </row>
    <row r="6">
      <c r="A6" t="inlineStr">
        <is>
          <t>pageviews_per_session</t>
        </is>
      </c>
      <c r="B6">
        <v>5</v>
      </c>
      <c r="C6" t="inlineStr">
        <is>
          <t>Average pageviews generated in each session.</t>
        </is>
      </c>
    </row>
    <row r="7">
      <c r="A7" t="inlineStr">
        <is>
          <t>ad_action_rate_per_pageview</t>
        </is>
      </c>
      <c r="B7">
        <v>0.003</v>
      </c>
      <c r="C7" t="inlineStr">
        <is>
          <t>Share of pageviews that convert into a CPA-qualified action.</t>
        </is>
      </c>
    </row>
    <row r="8">
      <c r="A8" t="inlineStr">
        <is>
          <t>ad_cpa_usd</t>
        </is>
      </c>
      <c r="B8">
        <v>3</v>
      </c>
      <c r="C8" t="inlineStr">
        <is>
          <t>CPA payout in USD for each modeled ad action.</t>
        </is>
      </c>
    </row>
    <row r="9">
      <c r="A9" t="inlineStr">
        <is>
          <t>jitter_std</t>
        </is>
      </c>
      <c r="B9">
        <v>0.05</v>
      </c>
      <c r="C9" t="inlineStr">
        <is>
          <t>Standard deviation used by the random-driver formulas.</t>
        </is>
      </c>
    </row>
    <row r="10">
      <c r="A10" t="inlineStr">
        <is>
          <t>dependency</t>
        </is>
      </c>
      <c r="B10" t="inlineStr">
        <is>
          <t>MAU.mau</t>
        </is>
      </c>
      <c r="C10" t="inlineStr">
        <is>
          <t>Ad calculations are derived from MAU, sessions, and pageviews.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</row>
    <row r="12">
      <c r="A12" t="inlineStr">
        <is>
          <t>month</t>
        </is>
      </c>
      <c r="B12" t="inlineStr">
        <is>
          <t>year_index</t>
        </is>
      </c>
      <c r="C12" t="inlineStr">
        <is>
          <t>phase</t>
        </is>
      </c>
      <c r="D12" t="inlineStr">
        <is>
          <t>sessions_per_mau</t>
        </is>
      </c>
      <c r="E12" t="inlineStr">
        <is>
          <t>pageviews_per_session</t>
        </is>
      </c>
      <c r="F12" t="inlineStr">
        <is>
          <t>sessions</t>
        </is>
      </c>
      <c r="G12" t="inlineStr">
        <is>
          <t>pageviews</t>
        </is>
      </c>
      <c r="H12" t="inlineStr">
        <is>
          <t>ad_action_rate_per_pageview</t>
        </is>
      </c>
      <c r="I12" t="inlineStr">
        <is>
          <t>noise_ad</t>
        </is>
      </c>
      <c r="J12" t="inlineStr">
        <is>
          <t>ad_actions</t>
        </is>
      </c>
      <c r="K12" t="inlineStr">
        <is>
          <t>ad_cpa_usd</t>
        </is>
      </c>
      <c r="L12" t="inlineStr">
        <is>
          <t>ad_revenue_usd</t>
        </is>
      </c>
    </row>
    <row r="13">
      <c r="A13" t="inlineStr">
        <is>
          <t>2026-03-01</t>
        </is>
      </c>
      <c r="B13">
        <v>1</v>
      </c>
      <c r="C13" t="inlineStr">
        <is>
          <t>phase_1_user_growth</t>
        </is>
      </c>
      <c r="D13">
        <f>$B$5</f>
        <v>3</v>
      </c>
      <c r="E13">
        <f>$B$6</f>
        <v>5</v>
      </c>
      <c r="F13">
        <f>ROUND('MAU'!$F19*D13,0)</f>
        <v>1839</v>
      </c>
      <c r="G13">
        <f>ROUND(F13*E13,0)</f>
        <v>9195</v>
      </c>
      <c r="H13">
        <f>$B$7</f>
        <v>0.003</v>
      </c>
      <c r="I13">
        <f>MAX(0.8,1+_xlfn.NORM.INV(RAND(),0,$B$9*0.3))</f>
        <v>1.024946</v>
      </c>
      <c r="J13">
        <f>ROUND(G13*H13*I13,0)</f>
        <v>28</v>
      </c>
      <c r="K13">
        <f>$B$8</f>
        <v>3</v>
      </c>
      <c r="L13">
        <f>ROUND(J13*K13,2)</f>
        <v>84.82</v>
      </c>
    </row>
    <row r="14">
      <c r="A14" t="inlineStr">
        <is>
          <t>2026-04-01</t>
        </is>
      </c>
      <c r="B14">
        <v>1</v>
      </c>
      <c r="C14" t="inlineStr">
        <is>
          <t>phase_1_user_growth</t>
        </is>
      </c>
      <c r="D14">
        <f>$B$5</f>
        <v>3</v>
      </c>
      <c r="E14">
        <f>$B$6</f>
        <v>5</v>
      </c>
      <c r="F14">
        <f>ROUND('MAU'!$F20*D14,0)</f>
        <v>2370</v>
      </c>
      <c r="G14">
        <f>ROUND(F14*E14,0)</f>
        <v>11850</v>
      </c>
      <c r="H14">
        <f>$B$7</f>
        <v>0.003</v>
      </c>
      <c r="I14">
        <f>MAX(0.8,1+_xlfn.NORM.INV(RAND(),0,$B$9*0.3))</f>
        <v>0.991229</v>
      </c>
      <c r="J14">
        <f>ROUND(G14*H14*I14,0)</f>
        <v>35</v>
      </c>
      <c r="K14">
        <f>$B$8</f>
        <v>3</v>
      </c>
      <c r="L14">
        <f>ROUND(J14*K14,2)</f>
        <v>105.71</v>
      </c>
    </row>
    <row r="15">
      <c r="A15" t="inlineStr">
        <is>
          <t>2026-05-01</t>
        </is>
      </c>
      <c r="B15">
        <v>1</v>
      </c>
      <c r="C15" t="inlineStr">
        <is>
          <t>phase_1_user_growth</t>
        </is>
      </c>
      <c r="D15">
        <f>$B$5</f>
        <v>3</v>
      </c>
      <c r="E15">
        <f>$B$6</f>
        <v>5</v>
      </c>
      <c r="F15">
        <f>ROUND('MAU'!$F21*D15,0)</f>
        <v>3303</v>
      </c>
      <c r="G15">
        <f>ROUND(F15*E15,0)</f>
        <v>16515</v>
      </c>
      <c r="H15">
        <f>$B$7</f>
        <v>0.003</v>
      </c>
      <c r="I15">
        <f>MAX(0.8,1+_xlfn.NORM.INV(RAND(),0,$B$9*0.3))</f>
        <v>0.993722</v>
      </c>
      <c r="J15">
        <f>ROUND(G15*H15*I15,0)</f>
        <v>49</v>
      </c>
      <c r="K15">
        <f>$B$8</f>
        <v>3</v>
      </c>
      <c r="L15">
        <f>ROUND(J15*K15,2)</f>
        <v>147.7</v>
      </c>
    </row>
    <row r="16">
      <c r="A16" t="inlineStr">
        <is>
          <t>2026-06-01</t>
        </is>
      </c>
      <c r="B16">
        <v>1</v>
      </c>
      <c r="C16" t="inlineStr">
        <is>
          <t>phase_1_user_growth</t>
        </is>
      </c>
      <c r="D16">
        <f>$B$5</f>
        <v>3</v>
      </c>
      <c r="E16">
        <f>$B$6</f>
        <v>5</v>
      </c>
      <c r="F16">
        <f>ROUND('MAU'!$F22*D16,0)</f>
        <v>3513</v>
      </c>
      <c r="G16">
        <f>ROUND(F16*E16,0)</f>
        <v>17565</v>
      </c>
      <c r="H16">
        <f>$B$7</f>
        <v>0.003</v>
      </c>
      <c r="I16">
        <f>MAX(0.8,1+_xlfn.NORM.INV(RAND(),0,$B$9*0.3))</f>
        <v>0.986639</v>
      </c>
      <c r="J16">
        <f>ROUND(G16*H16*I16,0)</f>
        <v>52</v>
      </c>
      <c r="K16">
        <f>$B$8</f>
        <v>3</v>
      </c>
      <c r="L16">
        <f>ROUND(J16*K16,2)</f>
        <v>155.97</v>
      </c>
    </row>
    <row r="17">
      <c r="A17" t="inlineStr">
        <is>
          <t>2026-07-01</t>
        </is>
      </c>
      <c r="B17">
        <v>1</v>
      </c>
      <c r="C17" t="inlineStr">
        <is>
          <t>phase_1_user_growth</t>
        </is>
      </c>
      <c r="D17">
        <f>$B$5</f>
        <v>3</v>
      </c>
      <c r="E17">
        <f>$B$6</f>
        <v>5</v>
      </c>
      <c r="F17">
        <f>ROUND('MAU'!$F23*D17,0)</f>
        <v>3879</v>
      </c>
      <c r="G17">
        <f>ROUND(F17*E17,0)</f>
        <v>19395</v>
      </c>
      <c r="H17">
        <f>$B$7</f>
        <v>0.003</v>
      </c>
      <c r="I17">
        <f>MAX(0.8,1+_xlfn.NORM.INV(RAND(),0,$B$9*0.3))</f>
        <v>0.995143</v>
      </c>
      <c r="J17">
        <f>ROUND(G17*H17*I17,0)</f>
        <v>58</v>
      </c>
      <c r="K17">
        <f>$B$8</f>
        <v>3</v>
      </c>
      <c r="L17">
        <f>ROUND(J17*K17,2)</f>
        <v>173.71</v>
      </c>
    </row>
    <row r="18">
      <c r="A18" t="inlineStr">
        <is>
          <t>2026-08-01</t>
        </is>
      </c>
      <c r="B18">
        <v>1</v>
      </c>
      <c r="C18" t="inlineStr">
        <is>
          <t>phase_1_user_growth</t>
        </is>
      </c>
      <c r="D18">
        <f>$B$5</f>
        <v>3</v>
      </c>
      <c r="E18">
        <f>$B$6</f>
        <v>5</v>
      </c>
      <c r="F18">
        <f>ROUND('MAU'!$F24*D18,0)</f>
        <v>4509</v>
      </c>
      <c r="G18">
        <f>ROUND(F18*E18,0)</f>
        <v>22545</v>
      </c>
      <c r="H18">
        <f>$B$7</f>
        <v>0.003</v>
      </c>
      <c r="I18">
        <f>MAX(0.8,1+_xlfn.NORM.INV(RAND(),0,$B$9*0.3))</f>
        <v>0.997377</v>
      </c>
      <c r="J18">
        <f>ROUND(G18*H18*I18,0)</f>
        <v>67</v>
      </c>
      <c r="K18">
        <f>$B$8</f>
        <v>3</v>
      </c>
      <c r="L18">
        <f>ROUND(J18*K18,2)</f>
        <v>202.37</v>
      </c>
    </row>
    <row r="19">
      <c r="A19" t="inlineStr">
        <is>
          <t>2026-09-01</t>
        </is>
      </c>
      <c r="B19">
        <v>1</v>
      </c>
      <c r="C19" t="inlineStr">
        <is>
          <t>phase_1_user_growth</t>
        </is>
      </c>
      <c r="D19">
        <f>$B$5</f>
        <v>3</v>
      </c>
      <c r="E19">
        <f>$B$6</f>
        <v>5</v>
      </c>
      <c r="F19">
        <f>ROUND('MAU'!$F25*D19,0)</f>
        <v>4779</v>
      </c>
      <c r="G19">
        <f>ROUND(F19*E19,0)</f>
        <v>23895</v>
      </c>
      <c r="H19">
        <f>$B$7</f>
        <v>0.003</v>
      </c>
      <c r="I19">
        <f>MAX(0.8,1+_xlfn.NORM.INV(RAND(),0,$B$9*0.3))</f>
        <v>1.019541</v>
      </c>
      <c r="J19">
        <f>ROUND(G19*H19*I19,0)</f>
        <v>73</v>
      </c>
      <c r="K19">
        <f>$B$8</f>
        <v>3</v>
      </c>
      <c r="L19">
        <f>ROUND(J19*K19,2)</f>
        <v>219.26</v>
      </c>
    </row>
    <row r="20">
      <c r="A20" t="inlineStr">
        <is>
          <t>2026-10-01</t>
        </is>
      </c>
      <c r="B20">
        <v>1</v>
      </c>
      <c r="C20" t="inlineStr">
        <is>
          <t>phase_1_user_growth</t>
        </is>
      </c>
      <c r="D20">
        <f>$B$5</f>
        <v>3</v>
      </c>
      <c r="E20">
        <f>$B$6</f>
        <v>5</v>
      </c>
      <c r="F20">
        <f>ROUND('MAU'!$F26*D20,0)</f>
        <v>5472</v>
      </c>
      <c r="G20">
        <f>ROUND(F20*E20,0)</f>
        <v>27360</v>
      </c>
      <c r="H20">
        <f>$B$7</f>
        <v>0.003</v>
      </c>
      <c r="I20">
        <f>MAX(0.8,1+_xlfn.NORM.INV(RAND(),0,$B$9*0.3))</f>
        <v>1.014384</v>
      </c>
      <c r="J20">
        <f>ROUND(G20*H20*I20,0)</f>
        <v>83</v>
      </c>
      <c r="K20">
        <f>$B$8</f>
        <v>3</v>
      </c>
      <c r="L20">
        <f>ROUND(J20*K20,2)</f>
        <v>249.78</v>
      </c>
    </row>
    <row r="21">
      <c r="A21" t="inlineStr">
        <is>
          <t>2026-11-01</t>
        </is>
      </c>
      <c r="B21">
        <v>1</v>
      </c>
      <c r="C21" t="inlineStr">
        <is>
          <t>phase_1_user_growth</t>
        </is>
      </c>
      <c r="D21">
        <f>$B$5</f>
        <v>3</v>
      </c>
      <c r="E21">
        <f>$B$6</f>
        <v>5</v>
      </c>
      <c r="F21">
        <f>ROUND('MAU'!$F27*D21,0)</f>
        <v>8073</v>
      </c>
      <c r="G21">
        <f>ROUND(F21*E21,0)</f>
        <v>40365</v>
      </c>
      <c r="H21">
        <f>$B$7</f>
        <v>0.003</v>
      </c>
      <c r="I21">
        <f>MAX(0.8,1+_xlfn.NORM.INV(RAND(),0,$B$9*0.3))</f>
        <v>1.005834</v>
      </c>
      <c r="J21">
        <f>ROUND(G21*H21*I21,0)</f>
        <v>122</v>
      </c>
      <c r="K21">
        <f>$B$8</f>
        <v>3</v>
      </c>
      <c r="L21">
        <f>ROUND(J21*K21,2)</f>
        <v>365.4</v>
      </c>
    </row>
    <row r="22">
      <c r="A22" t="inlineStr">
        <is>
          <t>2026-12-01</t>
        </is>
      </c>
      <c r="B22">
        <v>1</v>
      </c>
      <c r="C22" t="inlineStr">
        <is>
          <t>phase_1_user_growth</t>
        </is>
      </c>
      <c r="D22">
        <f>$B$5</f>
        <v>3</v>
      </c>
      <c r="E22">
        <f>$B$6</f>
        <v>5</v>
      </c>
      <c r="F22">
        <f>ROUND('MAU'!$F28*D22,0)</f>
        <v>14994</v>
      </c>
      <c r="G22">
        <f>ROUND(F22*E22,0)</f>
        <v>74970</v>
      </c>
      <c r="H22">
        <f>$B$7</f>
        <v>0.003</v>
      </c>
      <c r="I22">
        <f>MAX(0.8,1+_xlfn.NORM.INV(RAND(),0,$B$9*0.3))</f>
        <v>0.989488</v>
      </c>
      <c r="J22">
        <f>ROUND(G22*H22*I22,0)</f>
        <v>223</v>
      </c>
      <c r="K22">
        <f>$B$8</f>
        <v>3</v>
      </c>
      <c r="L22">
        <f>ROUND(J22*K22,2)</f>
        <v>667.64</v>
      </c>
    </row>
    <row r="23">
      <c r="A23" t="inlineStr">
        <is>
          <t>2027-01-01</t>
        </is>
      </c>
      <c r="B23">
        <v>1</v>
      </c>
      <c r="C23" t="inlineStr">
        <is>
          <t>phase_1_user_growth</t>
        </is>
      </c>
      <c r="D23">
        <f>$B$5</f>
        <v>3</v>
      </c>
      <c r="E23">
        <f>$B$6</f>
        <v>5</v>
      </c>
      <c r="F23">
        <f>ROUND('MAU'!$F29*D23,0)</f>
        <v>9180</v>
      </c>
      <c r="G23">
        <f>ROUND(F23*E23,0)</f>
        <v>45900</v>
      </c>
      <c r="H23">
        <f>$B$7</f>
        <v>0.003</v>
      </c>
      <c r="I23">
        <f>MAX(0.8,1+_xlfn.NORM.INV(RAND(),0,$B$9*0.3))</f>
        <v>1.008456</v>
      </c>
      <c r="J23">
        <f>ROUND(G23*H23*I23,0)</f>
        <v>139</v>
      </c>
      <c r="K23">
        <f>$B$8</f>
        <v>3</v>
      </c>
      <c r="L23">
        <f>ROUND(J23*K23,2)</f>
        <v>416.59</v>
      </c>
    </row>
    <row r="24">
      <c r="A24" t="inlineStr">
        <is>
          <t>2027-02-01</t>
        </is>
      </c>
      <c r="B24">
        <v>1</v>
      </c>
      <c r="C24" t="inlineStr">
        <is>
          <t>phase_1_user_growth</t>
        </is>
      </c>
      <c r="D24">
        <f>$B$5</f>
        <v>3</v>
      </c>
      <c r="E24">
        <f>$B$6</f>
        <v>5</v>
      </c>
      <c r="F24">
        <f>ROUND('MAU'!$F30*D24,0)</f>
        <v>9762</v>
      </c>
      <c r="G24">
        <f>ROUND(F24*E24,0)</f>
        <v>48810</v>
      </c>
      <c r="H24">
        <f>$B$7</f>
        <v>0.003</v>
      </c>
      <c r="I24">
        <f>MAX(0.8,1+_xlfn.NORM.INV(RAND(),0,$B$9*0.3))</f>
        <v>0.981041</v>
      </c>
      <c r="J24">
        <f>ROUND(G24*H24*I24,0)</f>
        <v>144</v>
      </c>
      <c r="K24">
        <f>$B$8</f>
        <v>3</v>
      </c>
      <c r="L24">
        <f>ROUND(J24*K24,2)</f>
        <v>430.96</v>
      </c>
    </row>
    <row r="25">
      <c r="A25" t="inlineStr">
        <is>
          <t>2027-03-01</t>
        </is>
      </c>
      <c r="B25">
        <v>2</v>
      </c>
      <c r="C25" t="inlineStr">
        <is>
          <t>phase_2_marketplace_activation</t>
        </is>
      </c>
      <c r="D25">
        <f>$B$5</f>
        <v>3</v>
      </c>
      <c r="E25">
        <f>$B$6</f>
        <v>5</v>
      </c>
      <c r="F25">
        <f>ROUND('MAU'!$F31*D25,0)</f>
        <v>9024</v>
      </c>
      <c r="G25">
        <f>ROUND(F25*E25,0)</f>
        <v>45120</v>
      </c>
      <c r="H25">
        <f>$B$7</f>
        <v>0.003</v>
      </c>
      <c r="I25">
        <f>MAX(0.8,1+_xlfn.NORM.INV(RAND(),0,$B$9*0.3))</f>
        <v>1.007309</v>
      </c>
      <c r="J25">
        <f>ROUND(G25*H25*I25,0)</f>
        <v>136</v>
      </c>
      <c r="K25">
        <f>$B$8</f>
        <v>3</v>
      </c>
      <c r="L25">
        <f>ROUND(J25*K25,2)</f>
        <v>409.05</v>
      </c>
    </row>
    <row r="26">
      <c r="A26" t="inlineStr">
        <is>
          <t>2027-04-01</t>
        </is>
      </c>
      <c r="B26">
        <v>2</v>
      </c>
      <c r="C26" t="inlineStr">
        <is>
          <t>phase_2_marketplace_activation</t>
        </is>
      </c>
      <c r="D26">
        <f>$B$5</f>
        <v>3</v>
      </c>
      <c r="E26">
        <f>$B$6</f>
        <v>5</v>
      </c>
      <c r="F26">
        <f>ROUND('MAU'!$F32*D26,0)</f>
        <v>9432</v>
      </c>
      <c r="G26">
        <f>ROUND(F26*E26,0)</f>
        <v>47160</v>
      </c>
      <c r="H26">
        <f>$B$7</f>
        <v>0.003</v>
      </c>
      <c r="I26">
        <f>MAX(0.8,1+_xlfn.NORM.INV(RAND(),0,$B$9*0.3))</f>
        <v>1.008004</v>
      </c>
      <c r="J26">
        <f>ROUND(G26*H26*I26,0)</f>
        <v>143</v>
      </c>
      <c r="K26">
        <f>$B$8</f>
        <v>3</v>
      </c>
      <c r="L26">
        <f>ROUND(J26*K26,2)</f>
        <v>427.84</v>
      </c>
    </row>
    <row r="27">
      <c r="A27" t="inlineStr">
        <is>
          <t>2027-05-01</t>
        </is>
      </c>
      <c r="B27">
        <v>2</v>
      </c>
      <c r="C27" t="inlineStr">
        <is>
          <t>phase_2_marketplace_activation</t>
        </is>
      </c>
      <c r="D27">
        <f>$B$5</f>
        <v>3</v>
      </c>
      <c r="E27">
        <f>$B$6</f>
        <v>5</v>
      </c>
      <c r="F27">
        <f>ROUND('MAU'!$F33*D27,0)</f>
        <v>11205</v>
      </c>
      <c r="G27">
        <f>ROUND(F27*E27,0)</f>
        <v>56025</v>
      </c>
      <c r="H27">
        <f>$B$7</f>
        <v>0.003</v>
      </c>
      <c r="I27">
        <f>MAX(0.8,1+_xlfn.NORM.INV(RAND(),0,$B$9*0.3))</f>
        <v>0.993259</v>
      </c>
      <c r="J27">
        <f>ROUND(G27*H27*I27,0)</f>
        <v>167</v>
      </c>
      <c r="K27">
        <f>$B$8</f>
        <v>3</v>
      </c>
      <c r="L27">
        <f>ROUND(J27*K27,2)</f>
        <v>500.83</v>
      </c>
    </row>
    <row r="28">
      <c r="A28" t="inlineStr">
        <is>
          <t>2027-06-01</t>
        </is>
      </c>
      <c r="B28">
        <v>2</v>
      </c>
      <c r="C28" t="inlineStr">
        <is>
          <t>phase_2_marketplace_activation</t>
        </is>
      </c>
      <c r="D28">
        <f>$B$5</f>
        <v>3</v>
      </c>
      <c r="E28">
        <f>$B$6</f>
        <v>5</v>
      </c>
      <c r="F28">
        <f>ROUND('MAU'!$F34*D28,0)</f>
        <v>11388</v>
      </c>
      <c r="G28">
        <f>ROUND(F28*E28,0)</f>
        <v>56940</v>
      </c>
      <c r="H28">
        <f>$B$7</f>
        <v>0.003</v>
      </c>
      <c r="I28">
        <f>MAX(0.8,1+_xlfn.NORM.INV(RAND(),0,$B$9*0.3))</f>
        <v>1.003199</v>
      </c>
      <c r="J28">
        <f>ROUND(G28*H28*I28,0)</f>
        <v>171</v>
      </c>
      <c r="K28">
        <f>$B$8</f>
        <v>3</v>
      </c>
      <c r="L28">
        <f>ROUND(J28*K28,2)</f>
        <v>514.1</v>
      </c>
    </row>
    <row r="29">
      <c r="A29" t="inlineStr">
        <is>
          <t>2027-07-01</t>
        </is>
      </c>
      <c r="B29">
        <v>2</v>
      </c>
      <c r="C29" t="inlineStr">
        <is>
          <t>phase_2_marketplace_activation</t>
        </is>
      </c>
      <c r="D29">
        <f>$B$5</f>
        <v>3</v>
      </c>
      <c r="E29">
        <f>$B$6</f>
        <v>5</v>
      </c>
      <c r="F29">
        <f>ROUND('MAU'!$F35*D29,0)</f>
        <v>12138</v>
      </c>
      <c r="G29">
        <f>ROUND(F29*E29,0)</f>
        <v>60690</v>
      </c>
      <c r="H29">
        <f>$B$7</f>
        <v>0.003</v>
      </c>
      <c r="I29">
        <f>MAX(0.8,1+_xlfn.NORM.INV(RAND(),0,$B$9*0.3))</f>
        <v>1.014005</v>
      </c>
      <c r="J29">
        <f>ROUND(G29*H29*I29,0)</f>
        <v>185</v>
      </c>
      <c r="K29">
        <f>$B$8</f>
        <v>3</v>
      </c>
      <c r="L29">
        <f>ROUND(J29*K29,2)</f>
        <v>553.86</v>
      </c>
    </row>
    <row r="30">
      <c r="A30" t="inlineStr">
        <is>
          <t>2027-08-01</t>
        </is>
      </c>
      <c r="B30">
        <v>2</v>
      </c>
      <c r="C30" t="inlineStr">
        <is>
          <t>phase_2_marketplace_activation</t>
        </is>
      </c>
      <c r="D30">
        <f>$B$5</f>
        <v>3</v>
      </c>
      <c r="E30">
        <f>$B$6</f>
        <v>5</v>
      </c>
      <c r="F30">
        <f>ROUND('MAU'!$F36*D30,0)</f>
        <v>12588</v>
      </c>
      <c r="G30">
        <f>ROUND(F30*E30,0)</f>
        <v>62940</v>
      </c>
      <c r="H30">
        <f>$B$7</f>
        <v>0.003</v>
      </c>
      <c r="I30">
        <f>MAX(0.8,1+_xlfn.NORM.INV(RAND(),0,$B$9*0.3))</f>
        <v>1.000883</v>
      </c>
      <c r="J30">
        <f>ROUND(G30*H30*I30,0)</f>
        <v>189</v>
      </c>
      <c r="K30">
        <f>$B$8</f>
        <v>3</v>
      </c>
      <c r="L30">
        <f>ROUND(J30*K30,2)</f>
        <v>566.96</v>
      </c>
    </row>
    <row r="31">
      <c r="A31" t="inlineStr">
        <is>
          <t>2027-09-01</t>
        </is>
      </c>
      <c r="B31">
        <v>2</v>
      </c>
      <c r="C31" t="inlineStr">
        <is>
          <t>phase_2_marketplace_activation</t>
        </is>
      </c>
      <c r="D31">
        <f>$B$5</f>
        <v>3</v>
      </c>
      <c r="E31">
        <f>$B$6</f>
        <v>5</v>
      </c>
      <c r="F31">
        <f>ROUND('MAU'!$F37*D31,0)</f>
        <v>13203</v>
      </c>
      <c r="G31">
        <f>ROUND(F31*E31,0)</f>
        <v>66015</v>
      </c>
      <c r="H31">
        <f>$B$7</f>
        <v>0.003</v>
      </c>
      <c r="I31">
        <f>MAX(0.8,1+_xlfn.NORM.INV(RAND(),0,$B$9*0.3))</f>
        <v>1.008754</v>
      </c>
      <c r="J31">
        <f>ROUND(G31*H31*I31,0)</f>
        <v>200</v>
      </c>
      <c r="K31">
        <f>$B$8</f>
        <v>3</v>
      </c>
      <c r="L31">
        <f>ROUND(J31*K31,2)</f>
        <v>599.34</v>
      </c>
    </row>
    <row r="32">
      <c r="A32" t="inlineStr">
        <is>
          <t>2027-10-01</t>
        </is>
      </c>
      <c r="B32">
        <v>2</v>
      </c>
      <c r="C32" t="inlineStr">
        <is>
          <t>phase_2_marketplace_activation</t>
        </is>
      </c>
      <c r="D32">
        <f>$B$5</f>
        <v>3</v>
      </c>
      <c r="E32">
        <f>$B$6</f>
        <v>5</v>
      </c>
      <c r="F32">
        <f>ROUND('MAU'!$F38*D32,0)</f>
        <v>14334</v>
      </c>
      <c r="G32">
        <f>ROUND(F32*E32,0)</f>
        <v>71670</v>
      </c>
      <c r="H32">
        <f>$B$7</f>
        <v>0.003</v>
      </c>
      <c r="I32">
        <f>MAX(0.8,1+_xlfn.NORM.INV(RAND(),0,$B$9*0.3))</f>
        <v>0.994516</v>
      </c>
      <c r="J32">
        <f>ROUND(G32*H32*I32,0)</f>
        <v>214</v>
      </c>
      <c r="K32">
        <f>$B$8</f>
        <v>3</v>
      </c>
      <c r="L32">
        <f>ROUND(J32*K32,2)</f>
        <v>641.49</v>
      </c>
    </row>
    <row r="33">
      <c r="A33" t="inlineStr">
        <is>
          <t>2027-11-01</t>
        </is>
      </c>
      <c r="B33">
        <v>2</v>
      </c>
      <c r="C33" t="inlineStr">
        <is>
          <t>phase_2_marketplace_activation</t>
        </is>
      </c>
      <c r="D33">
        <f>$B$5</f>
        <v>3</v>
      </c>
      <c r="E33">
        <f>$B$6</f>
        <v>5</v>
      </c>
      <c r="F33">
        <f>ROUND('MAU'!$F39*D33,0)</f>
        <v>19005</v>
      </c>
      <c r="G33">
        <f>ROUND(F33*E33,0)</f>
        <v>95025</v>
      </c>
      <c r="H33">
        <f>$B$7</f>
        <v>0.003</v>
      </c>
      <c r="I33">
        <f>MAX(0.8,1+_xlfn.NORM.INV(RAND(),0,$B$9*0.3))</f>
        <v>0.972892</v>
      </c>
      <c r="J33">
        <f>ROUND(G33*H33*I33,0)</f>
        <v>277</v>
      </c>
      <c r="K33">
        <f>$B$8</f>
        <v>3</v>
      </c>
      <c r="L33">
        <f>ROUND(J33*K33,2)</f>
        <v>832.04</v>
      </c>
    </row>
    <row r="34">
      <c r="A34" t="inlineStr">
        <is>
          <t>2027-12-01</t>
        </is>
      </c>
      <c r="B34">
        <v>2</v>
      </c>
      <c r="C34" t="inlineStr">
        <is>
          <t>phase_2_marketplace_activation</t>
        </is>
      </c>
      <c r="D34">
        <f>$B$5</f>
        <v>3</v>
      </c>
      <c r="E34">
        <f>$B$6</f>
        <v>5</v>
      </c>
      <c r="F34">
        <f>ROUND('MAU'!$F40*D34,0)</f>
        <v>32703</v>
      </c>
      <c r="G34">
        <f>ROUND(F34*E34,0)</f>
        <v>163515</v>
      </c>
      <c r="H34">
        <f>$B$7</f>
        <v>0.003</v>
      </c>
      <c r="I34">
        <f>MAX(0.8,1+_xlfn.NORM.INV(RAND(),0,$B$9*0.3))</f>
        <v>1.006925</v>
      </c>
      <c r="J34">
        <f>ROUND(G34*H34*I34,0)</f>
        <v>494</v>
      </c>
      <c r="K34">
        <f>$B$8</f>
        <v>3</v>
      </c>
      <c r="L34">
        <f>ROUND(J34*K34,2)</f>
        <v>1481.83</v>
      </c>
    </row>
    <row r="35">
      <c r="A35" t="inlineStr">
        <is>
          <t>2028-01-01</t>
        </is>
      </c>
      <c r="B35">
        <v>2</v>
      </c>
      <c r="C35" t="inlineStr">
        <is>
          <t>phase_2_marketplace_activation</t>
        </is>
      </c>
      <c r="D35">
        <f>$B$5</f>
        <v>3</v>
      </c>
      <c r="E35">
        <f>$B$6</f>
        <v>5</v>
      </c>
      <c r="F35">
        <f>ROUND('MAU'!$F41*D35,0)</f>
        <v>20031</v>
      </c>
      <c r="G35">
        <f>ROUND(F35*E35,0)</f>
        <v>100155</v>
      </c>
      <c r="H35">
        <f>$B$7</f>
        <v>0.003</v>
      </c>
      <c r="I35">
        <f>MAX(0.8,1+_xlfn.NORM.INV(RAND(),0,$B$9*0.3))</f>
        <v>0.971667</v>
      </c>
      <c r="J35">
        <f>ROUND(G35*H35*I35,0)</f>
        <v>292</v>
      </c>
      <c r="K35">
        <f>$B$8</f>
        <v>3</v>
      </c>
      <c r="L35">
        <f>ROUND(J35*K35,2)</f>
        <v>875.86</v>
      </c>
    </row>
    <row r="36">
      <c r="A36" t="inlineStr">
        <is>
          <t>2028-02-01</t>
        </is>
      </c>
      <c r="B36">
        <v>2</v>
      </c>
      <c r="C36" t="inlineStr">
        <is>
          <t>phase_2_marketplace_activation</t>
        </is>
      </c>
      <c r="D36">
        <f>$B$5</f>
        <v>3</v>
      </c>
      <c r="E36">
        <f>$B$6</f>
        <v>5</v>
      </c>
      <c r="F36">
        <f>ROUND('MAU'!$F42*D36,0)</f>
        <v>20319</v>
      </c>
      <c r="G36">
        <f>ROUND(F36*E36,0)</f>
        <v>101595</v>
      </c>
      <c r="H36">
        <f>$B$7</f>
        <v>0.003</v>
      </c>
      <c r="I36">
        <f>MAX(0.8,1+_xlfn.NORM.INV(RAND(),0,$B$9*0.3))</f>
        <v>1.022527</v>
      </c>
      <c r="J36">
        <f>ROUND(G36*H36*I36,0)</f>
        <v>312</v>
      </c>
      <c r="K36">
        <f>$B$8</f>
        <v>3</v>
      </c>
      <c r="L36">
        <f>ROUND(J36*K36,2)</f>
        <v>934.95</v>
      </c>
    </row>
    <row r="37">
      <c r="A37" t="inlineStr">
        <is>
          <t>2028-03-01</t>
        </is>
      </c>
      <c r="B37">
        <v>3</v>
      </c>
      <c r="C37" t="inlineStr">
        <is>
          <t>phase_3_projection</t>
        </is>
      </c>
      <c r="D37">
        <f>$B$5</f>
        <v>3</v>
      </c>
      <c r="E37">
        <f>$B$6</f>
        <v>5</v>
      </c>
      <c r="F37">
        <f>ROUND('MAU'!$F43*D37,0)</f>
        <v>18954</v>
      </c>
      <c r="G37">
        <f>ROUND(F37*E37,0)</f>
        <v>94770</v>
      </c>
      <c r="H37">
        <f>$B$7</f>
        <v>0.003</v>
      </c>
      <c r="I37">
        <f>MAX(0.8,1+_xlfn.NORM.INV(RAND(),0,$B$9*0.3))</f>
        <v>0.990509</v>
      </c>
      <c r="J37">
        <f>ROUND(G37*H37*I37,0)</f>
        <v>282</v>
      </c>
      <c r="K37">
        <f>$B$8</f>
        <v>3</v>
      </c>
      <c r="L37">
        <f>ROUND(J37*K37,2)</f>
        <v>844.83</v>
      </c>
    </row>
    <row r="38">
      <c r="A38" t="inlineStr">
        <is>
          <t>2028-04-01</t>
        </is>
      </c>
      <c r="B38">
        <v>3</v>
      </c>
      <c r="C38" t="inlineStr">
        <is>
          <t>phase_3_projection</t>
        </is>
      </c>
      <c r="D38">
        <f>$B$5</f>
        <v>3</v>
      </c>
      <c r="E38">
        <f>$B$6</f>
        <v>5</v>
      </c>
      <c r="F38">
        <f>ROUND('MAU'!$F44*D38,0)</f>
        <v>19548</v>
      </c>
      <c r="G38">
        <f>ROUND(F38*E38,0)</f>
        <v>97740</v>
      </c>
      <c r="H38">
        <f>$B$7</f>
        <v>0.003</v>
      </c>
      <c r="I38">
        <f>MAX(0.8,1+_xlfn.NORM.INV(RAND(),0,$B$9*0.3))</f>
        <v>0.984881</v>
      </c>
      <c r="J38">
        <f>ROUND(G38*H38*I38,0)</f>
        <v>289</v>
      </c>
      <c r="K38">
        <f>$B$8</f>
        <v>3</v>
      </c>
      <c r="L38">
        <f>ROUND(J38*K38,2)</f>
        <v>866.36</v>
      </c>
    </row>
    <row r="39">
      <c r="A39" t="inlineStr">
        <is>
          <t>2028-05-01</t>
        </is>
      </c>
      <c r="B39">
        <v>3</v>
      </c>
      <c r="C39" t="inlineStr">
        <is>
          <t>phase_3_projection</t>
        </is>
      </c>
      <c r="D39">
        <f>$B$5</f>
        <v>3</v>
      </c>
      <c r="E39">
        <f>$B$6</f>
        <v>5</v>
      </c>
      <c r="F39">
        <f>ROUND('MAU'!$F45*D39,0)</f>
        <v>22065</v>
      </c>
      <c r="G39">
        <f>ROUND(F39*E39,0)</f>
        <v>110325</v>
      </c>
      <c r="H39">
        <f>$B$7</f>
        <v>0.003</v>
      </c>
      <c r="I39">
        <f>MAX(0.8,1+_xlfn.NORM.INV(RAND(),0,$B$9*0.3))</f>
        <v>1.017772</v>
      </c>
      <c r="J39">
        <f>ROUND(G39*H39*I39,0)</f>
        <v>337</v>
      </c>
      <c r="K39">
        <f>$B$8</f>
        <v>3</v>
      </c>
      <c r="L39">
        <f>ROUND(J39*K39,2)</f>
        <v>1010.57</v>
      </c>
    </row>
    <row r="40">
      <c r="A40" t="inlineStr">
        <is>
          <t>2028-06-01</t>
        </is>
      </c>
      <c r="B40">
        <v>3</v>
      </c>
      <c r="C40" t="inlineStr">
        <is>
          <t>phase_3_projection</t>
        </is>
      </c>
      <c r="D40">
        <f>$B$5</f>
        <v>3</v>
      </c>
      <c r="E40">
        <f>$B$6</f>
        <v>5</v>
      </c>
      <c r="F40">
        <f>ROUND('MAU'!$F46*D40,0)</f>
        <v>21633</v>
      </c>
      <c r="G40">
        <f>ROUND(F40*E40,0)</f>
        <v>108165</v>
      </c>
      <c r="H40">
        <f>$B$7</f>
        <v>0.003</v>
      </c>
      <c r="I40">
        <f>MAX(0.8,1+_xlfn.NORM.INV(RAND(),0,$B$9*0.3))</f>
        <v>1.000164</v>
      </c>
      <c r="J40">
        <f>ROUND(G40*H40*I40,0)</f>
        <v>325</v>
      </c>
      <c r="K40">
        <f>$B$8</f>
        <v>3</v>
      </c>
      <c r="L40">
        <f>ROUND(J40*K40,2)</f>
        <v>973.64</v>
      </c>
    </row>
    <row r="41">
      <c r="A41" t="inlineStr">
        <is>
          <t>2028-07-01</t>
        </is>
      </c>
      <c r="B41">
        <v>3</v>
      </c>
      <c r="C41" t="inlineStr">
        <is>
          <t>phase_3_projection</t>
        </is>
      </c>
      <c r="D41">
        <f>$B$5</f>
        <v>3</v>
      </c>
      <c r="E41">
        <f>$B$6</f>
        <v>5</v>
      </c>
      <c r="F41">
        <f>ROUND('MAU'!$F47*D41,0)</f>
        <v>22266</v>
      </c>
      <c r="G41">
        <f>ROUND(F41*E41,0)</f>
        <v>111330</v>
      </c>
      <c r="H41">
        <f>$B$7</f>
        <v>0.003</v>
      </c>
      <c r="I41">
        <f>MAX(0.8,1+_xlfn.NORM.INV(RAND(),0,$B$9*0.3))</f>
        <v>1.007452</v>
      </c>
      <c r="J41">
        <f>ROUND(G41*H41*I41,0)</f>
        <v>336</v>
      </c>
      <c r="K41">
        <f>$B$8</f>
        <v>3</v>
      </c>
      <c r="L41">
        <f>ROUND(J41*K41,2)</f>
        <v>1009.44</v>
      </c>
    </row>
    <row r="42">
      <c r="A42" t="inlineStr">
        <is>
          <t>2028-08-01</t>
        </is>
      </c>
      <c r="B42">
        <v>3</v>
      </c>
      <c r="C42" t="inlineStr">
        <is>
          <t>phase_3_projection</t>
        </is>
      </c>
      <c r="D42">
        <f>$B$5</f>
        <v>3</v>
      </c>
      <c r="E42">
        <f>$B$6</f>
        <v>5</v>
      </c>
      <c r="F42">
        <f>ROUND('MAU'!$F48*D42,0)</f>
        <v>22962</v>
      </c>
      <c r="G42">
        <f>ROUND(F42*E42,0)</f>
        <v>114810</v>
      </c>
      <c r="H42">
        <f>$B$7</f>
        <v>0.003</v>
      </c>
      <c r="I42">
        <f>MAX(0.8,1+_xlfn.NORM.INV(RAND(),0,$B$9*0.3))</f>
        <v>0.991572</v>
      </c>
      <c r="J42">
        <f>ROUND(G42*H42*I42,0)</f>
        <v>342</v>
      </c>
      <c r="K42">
        <f>$B$8</f>
        <v>3</v>
      </c>
      <c r="L42">
        <f>ROUND(J42*K42,2)</f>
        <v>1024.58</v>
      </c>
    </row>
    <row r="43">
      <c r="A43" t="inlineStr">
        <is>
          <t>2028-09-01</t>
        </is>
      </c>
      <c r="B43">
        <v>3</v>
      </c>
      <c r="C43" t="inlineStr">
        <is>
          <t>phase_3_projection</t>
        </is>
      </c>
      <c r="D43">
        <f>$B$5</f>
        <v>3</v>
      </c>
      <c r="E43">
        <f>$B$6</f>
        <v>5</v>
      </c>
      <c r="F43">
        <f>ROUND('MAU'!$F49*D43,0)</f>
        <v>23115</v>
      </c>
      <c r="G43">
        <f>ROUND(F43*E43,0)</f>
        <v>115575</v>
      </c>
      <c r="H43">
        <f>$B$7</f>
        <v>0.003</v>
      </c>
      <c r="I43">
        <f>MAX(0.8,1+_xlfn.NORM.INV(RAND(),0,$B$9*0.3))</f>
        <v>0.967254</v>
      </c>
      <c r="J43">
        <f>ROUND(G43*H43*I43,0)</f>
        <v>335</v>
      </c>
      <c r="K43">
        <f>$B$8</f>
        <v>3</v>
      </c>
      <c r="L43">
        <f>ROUND(J43*K43,2)</f>
        <v>1006.11</v>
      </c>
    </row>
    <row r="44">
      <c r="A44" t="inlineStr">
        <is>
          <t>2028-10-01</t>
        </is>
      </c>
      <c r="B44">
        <v>3</v>
      </c>
      <c r="C44" t="inlineStr">
        <is>
          <t>phase_3_projection</t>
        </is>
      </c>
      <c r="D44">
        <f>$B$5</f>
        <v>3</v>
      </c>
      <c r="E44">
        <f>$B$6</f>
        <v>5</v>
      </c>
      <c r="F44">
        <f>ROUND('MAU'!$F50*D44,0)</f>
        <v>24570</v>
      </c>
      <c r="G44">
        <f>ROUND(F44*E44,0)</f>
        <v>122850</v>
      </c>
      <c r="H44">
        <f>$B$7</f>
        <v>0.003</v>
      </c>
      <c r="I44">
        <f>MAX(0.8,1+_xlfn.NORM.INV(RAND(),0,$B$9*0.3))</f>
        <v>1.009741</v>
      </c>
      <c r="J44">
        <f>ROUND(G44*H44*I44,0)</f>
        <v>372</v>
      </c>
      <c r="K44">
        <f>$B$8</f>
        <v>3</v>
      </c>
      <c r="L44">
        <f>ROUND(J44*K44,2)</f>
        <v>1116.42</v>
      </c>
    </row>
    <row r="45">
      <c r="A45" t="inlineStr">
        <is>
          <t>2028-11-01</t>
        </is>
      </c>
      <c r="B45">
        <v>3</v>
      </c>
      <c r="C45" t="inlineStr">
        <is>
          <t>phase_3_projection</t>
        </is>
      </c>
      <c r="D45">
        <f>$B$5</f>
        <v>3</v>
      </c>
      <c r="E45">
        <f>$B$6</f>
        <v>5</v>
      </c>
      <c r="F45">
        <f>ROUND('MAU'!$F51*D45,0)</f>
        <v>31725</v>
      </c>
      <c r="G45">
        <f>ROUND(F45*E45,0)</f>
        <v>158625</v>
      </c>
      <c r="H45">
        <f>$B$7</f>
        <v>0.003</v>
      </c>
      <c r="I45">
        <f>MAX(0.8,1+_xlfn.NORM.INV(RAND(),0,$B$9*0.3))</f>
        <v>1.004076</v>
      </c>
      <c r="J45">
        <f>ROUND(G45*H45*I45,0)</f>
        <v>478</v>
      </c>
      <c r="K45">
        <f>$B$8</f>
        <v>3</v>
      </c>
      <c r="L45">
        <f>ROUND(J45*K45,2)</f>
        <v>1433.44</v>
      </c>
    </row>
    <row r="46">
      <c r="A46" t="inlineStr">
        <is>
          <t>2028-12-01</t>
        </is>
      </c>
      <c r="B46">
        <v>3</v>
      </c>
      <c r="C46" t="inlineStr">
        <is>
          <t>phase_3_projection</t>
        </is>
      </c>
      <c r="D46">
        <f>$B$5</f>
        <v>3</v>
      </c>
      <c r="E46">
        <f>$B$6</f>
        <v>5</v>
      </c>
      <c r="F46">
        <f>ROUND('MAU'!$F52*D46,0)</f>
        <v>50505</v>
      </c>
      <c r="G46">
        <f>ROUND(F46*E46,0)</f>
        <v>252525</v>
      </c>
      <c r="H46">
        <f>$B$7</f>
        <v>0.003</v>
      </c>
      <c r="I46">
        <f>MAX(0.8,1+_xlfn.NORM.INV(RAND(),0,$B$9*0.3))</f>
        <v>0.992555</v>
      </c>
      <c r="J46">
        <f>ROUND(G46*H46*I46,0)</f>
        <v>752</v>
      </c>
      <c r="K46">
        <f>$B$8</f>
        <v>3</v>
      </c>
      <c r="L46">
        <f>ROUND(J46*K46,2)</f>
        <v>2255.8</v>
      </c>
    </row>
    <row r="47">
      <c r="A47" t="inlineStr">
        <is>
          <t>2029-01-01</t>
        </is>
      </c>
      <c r="B47">
        <v>3</v>
      </c>
      <c r="C47" t="inlineStr">
        <is>
          <t>phase_3_projection</t>
        </is>
      </c>
      <c r="D47">
        <f>$B$5</f>
        <v>3</v>
      </c>
      <c r="E47">
        <f>$B$6</f>
        <v>5</v>
      </c>
      <c r="F47">
        <f>ROUND('MAU'!$F53*D47,0)</f>
        <v>32091</v>
      </c>
      <c r="G47">
        <f>ROUND(F47*E47,0)</f>
        <v>160455</v>
      </c>
      <c r="H47">
        <f>$B$7</f>
        <v>0.003</v>
      </c>
      <c r="I47">
        <f>MAX(0.8,1+_xlfn.NORM.INV(RAND(),0,$B$9*0.3))</f>
        <v>0.989519</v>
      </c>
      <c r="J47">
        <f>ROUND(G47*H47*I47,0)</f>
        <v>476</v>
      </c>
      <c r="K47">
        <f>$B$8</f>
        <v>3</v>
      </c>
      <c r="L47">
        <f>ROUND(J47*K47,2)</f>
        <v>1428.96</v>
      </c>
    </row>
    <row r="48">
      <c r="A48" t="inlineStr">
        <is>
          <t>2029-02-01</t>
        </is>
      </c>
      <c r="B48">
        <v>3</v>
      </c>
      <c r="C48" t="inlineStr">
        <is>
          <t>phase_3_projection</t>
        </is>
      </c>
      <c r="D48">
        <f>$B$5</f>
        <v>3</v>
      </c>
      <c r="E48">
        <f>$B$6</f>
        <v>5</v>
      </c>
      <c r="F48">
        <f>ROUND('MAU'!$F54*D48,0)</f>
        <v>32364</v>
      </c>
      <c r="G48">
        <f>ROUND(F48*E48,0)</f>
        <v>161820</v>
      </c>
      <c r="H48">
        <f>$B$7</f>
        <v>0.003</v>
      </c>
      <c r="I48">
        <f>MAX(0.8,1+_xlfn.NORM.INV(RAND(),0,$B$9*0.3))</f>
        <v>0.976729</v>
      </c>
      <c r="J48">
        <f>ROUND(G48*H48*I48,0)</f>
        <v>474</v>
      </c>
      <c r="K48">
        <f>$B$8</f>
        <v>3</v>
      </c>
      <c r="L48">
        <f>ROUND(J48*K48,2)</f>
        <v>1422.49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MarketplaceFees</vt:lpstr>
      <vt:lpstr>MAU</vt:lpstr>
      <vt:lpstr>Subscriptions</vt:lpstr>
      <vt:lpstr>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Synthetic Marketplace Projection Model</dc:title>
  <dc:creator>Codex</dc:creator>
</cp:coreProperties>
</file>