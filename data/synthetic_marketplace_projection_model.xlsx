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8800" windowHeight="17280"/>
  </bookViews>
  <sheets>
    <sheet name="Summary" sheetId="1" state="visible" r:id="rId1"/>
    <sheet name="Marketplace Revenue" sheetId="2" state="visible" r:id="rId2"/>
    <sheet name="MAU &amp; Operating Metrics" sheetId="3" state="visible" r:id="rId3"/>
    <sheet name="Subscriptions" sheetId="4" state="visible" r:id="rId4"/>
    <sheet name="Advertising" sheetId="5" state="visible" r:id="rId5"/>
    <sheet name="OpEx" sheetId="6" state="visible" r:id="rId6"/>
  </sheets>
  <calcPr calcId="181029" calcMode="auto" fullCalcOnLoad="1"/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K14"/>
  <sheetViews>
    <sheetView workbookViewId="0"/>
  </sheetViews>
  <sheetFormatPr defaultRowHeight="15"/>
  <sheetData>
    <row r="1">
      <c r="A1" t="inlineStr">
        <is>
          <t>[Summary]</t>
        </is>
      </c>
      <c r="B1" t="inlineStr">
        <is>
          <t/>
        </is>
      </c>
      <c r="C1" t="inlineStr">
        <is>
          <t>36-month income statement style summary driven by the detailed revenue and OpEx tabs.</t>
        </is>
      </c>
    </row>
    <row r="2">
      <c r="A2" t="inlineStr">
        <is>
          <t/>
        </is>
      </c>
    </row>
    <row r="3">
      <c r="A3" t="inlineStr">
        <is>
          <t/>
        </is>
      </c>
      <c r="B3" t="inlineStr">
        <is>
          <t>2026</t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>2027</t>
        </is>
      </c>
      <c r="M3" t="inlineStr">
        <is>
          <t/>
        </is>
      </c>
      <c r="N3" t="inlineStr">
        <is>
          <t/>
        </is>
      </c>
      <c r="O3" t="inlineStr">
        <is>
          <t/>
        </is>
      </c>
      <c r="P3" t="inlineStr">
        <is>
          <t/>
        </is>
      </c>
      <c r="Q3" t="inlineStr">
        <is>
          <t/>
        </is>
      </c>
      <c r="R3" t="inlineStr">
        <is>
          <t/>
        </is>
      </c>
      <c r="S3" t="inlineStr">
        <is>
          <t/>
        </is>
      </c>
      <c r="T3" t="inlineStr">
        <is>
          <t/>
        </is>
      </c>
      <c r="U3" t="inlineStr">
        <is>
          <t/>
        </is>
      </c>
      <c r="V3" t="inlineStr">
        <is>
          <t/>
        </is>
      </c>
      <c r="W3" t="inlineStr">
        <is>
          <t/>
        </is>
      </c>
      <c r="X3" t="inlineStr">
        <is>
          <t>2028</t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/>
        </is>
      </c>
      <c r="AF3" t="inlineStr">
        <is>
          <t/>
        </is>
      </c>
      <c r="AG3" t="inlineStr">
        <is>
          <t/>
        </is>
      </c>
      <c r="AH3" t="inlineStr">
        <is>
          <t/>
        </is>
      </c>
      <c r="AI3" t="inlineStr">
        <is>
          <t/>
        </is>
      </c>
      <c r="AJ3" t="inlineStr">
        <is>
          <t>2029</t>
        </is>
      </c>
      <c r="AK3" t="inlineStr">
        <is>
          <t/>
        </is>
      </c>
    </row>
    <row r="4">
      <c r="A4" t="inlineStr">
        <is>
          <t>month</t>
        </is>
      </c>
      <c r="B4">
        <v>3</v>
      </c>
      <c r="C4">
        <v>4</v>
      </c>
      <c r="D4">
        <v>5</v>
      </c>
      <c r="E4">
        <v>6</v>
      </c>
      <c r="F4">
        <v>7</v>
      </c>
      <c r="G4">
        <v>8</v>
      </c>
      <c r="H4">
        <v>9</v>
      </c>
      <c r="I4">
        <v>10</v>
      </c>
      <c r="J4">
        <v>11</v>
      </c>
      <c r="K4">
        <v>12</v>
      </c>
      <c r="L4">
        <v>1</v>
      </c>
      <c r="M4">
        <v>2</v>
      </c>
      <c r="N4">
        <v>3</v>
      </c>
      <c r="O4">
        <v>4</v>
      </c>
      <c r="P4">
        <v>5</v>
      </c>
      <c r="Q4">
        <v>6</v>
      </c>
      <c r="R4">
        <v>7</v>
      </c>
      <c r="S4">
        <v>8</v>
      </c>
      <c r="T4">
        <v>9</v>
      </c>
      <c r="U4">
        <v>10</v>
      </c>
      <c r="V4">
        <v>11</v>
      </c>
      <c r="W4">
        <v>12</v>
      </c>
      <c r="X4">
        <v>1</v>
      </c>
      <c r="Y4">
        <v>2</v>
      </c>
      <c r="Z4">
        <v>3</v>
      </c>
      <c r="AA4">
        <v>4</v>
      </c>
      <c r="AB4">
        <v>5</v>
      </c>
      <c r="AC4">
        <v>6</v>
      </c>
      <c r="AD4">
        <v>7</v>
      </c>
      <c r="AE4">
        <v>8</v>
      </c>
      <c r="AF4">
        <v>9</v>
      </c>
      <c r="AG4">
        <v>10</v>
      </c>
      <c r="AH4">
        <v>11</v>
      </c>
      <c r="AI4">
        <v>12</v>
      </c>
      <c r="AJ4">
        <v>1</v>
      </c>
      <c r="AK4">
        <v>2</v>
      </c>
    </row>
    <row r="5">
      <c r="A5" t="inlineStr">
        <is>
          <t>Marketplace Revenue</t>
        </is>
      </c>
      <c r="B5">
        <f>'Marketplace Revenue'!$I$17</f>
        <v>0</v>
      </c>
      <c r="C5">
        <f>'Marketplace Revenue'!$I$18</f>
        <v>0</v>
      </c>
      <c r="D5">
        <f>'Marketplace Revenue'!$I$19</f>
        <v>0</v>
      </c>
      <c r="E5">
        <f>'Marketplace Revenue'!$I$20</f>
        <v>0</v>
      </c>
      <c r="F5">
        <f>'Marketplace Revenue'!$I$21</f>
        <v>0</v>
      </c>
      <c r="G5">
        <f>'Marketplace Revenue'!$I$22</f>
        <v>0</v>
      </c>
      <c r="H5">
        <f>'Marketplace Revenue'!$I$23</f>
        <v>0</v>
      </c>
      <c r="I5">
        <f>'Marketplace Revenue'!$I$24</f>
        <v>0</v>
      </c>
      <c r="J5">
        <f>'Marketplace Revenue'!$I$25</f>
        <v>0</v>
      </c>
      <c r="K5">
        <f>'Marketplace Revenue'!$I$26</f>
        <v>0</v>
      </c>
      <c r="L5">
        <f>'Marketplace Revenue'!$I$27</f>
        <v>0</v>
      </c>
      <c r="M5">
        <f>'Marketplace Revenue'!$I$28</f>
        <v>0</v>
      </c>
      <c r="N5">
        <f>'Marketplace Revenue'!$I$29</f>
        <v>844.34</v>
      </c>
      <c r="O5">
        <f>'Marketplace Revenue'!$I$30</f>
        <v>2240.5</v>
      </c>
      <c r="P5">
        <f>'Marketplace Revenue'!$I$31</f>
        <v>3898.6</v>
      </c>
      <c r="Q5">
        <f>'Marketplace Revenue'!$I$32</f>
        <v>5254.19</v>
      </c>
      <c r="R5">
        <f>'Marketplace Revenue'!$I$33</f>
        <v>6552.94</v>
      </c>
      <c r="S5">
        <f>'Marketplace Revenue'!$I$34</f>
        <v>8175.37</v>
      </c>
      <c r="T5">
        <f>'Marketplace Revenue'!$I$35</f>
        <v>9709.93</v>
      </c>
      <c r="U5">
        <f>'Marketplace Revenue'!$I$36</f>
        <v>11281.48</v>
      </c>
      <c r="V5">
        <f>'Marketplace Revenue'!$I$37</f>
        <v>12895.12</v>
      </c>
      <c r="W5">
        <f>'Marketplace Revenue'!$I$38</f>
        <v>16441.12</v>
      </c>
      <c r="X5">
        <f>'Marketplace Revenue'!$I$39</f>
        <v>14442.79</v>
      </c>
      <c r="Y5">
        <f>'Marketplace Revenue'!$I$40</f>
        <v>17407.33</v>
      </c>
      <c r="Z5">
        <f>'Marketplace Revenue'!$I$41</f>
        <v>18348.62</v>
      </c>
      <c r="AA5">
        <f>'Marketplace Revenue'!$I$42</f>
        <v>20003.19</v>
      </c>
      <c r="AB5">
        <f>'Marketplace Revenue'!$I$43</f>
        <v>22040.04</v>
      </c>
      <c r="AC5">
        <f>'Marketplace Revenue'!$I$44</f>
        <v>23678.53</v>
      </c>
      <c r="AD5">
        <f>'Marketplace Revenue'!$I$45</f>
        <v>25307.2</v>
      </c>
      <c r="AE5">
        <f>'Marketplace Revenue'!$I$46</f>
        <v>27107.96</v>
      </c>
      <c r="AF5">
        <f>'Marketplace Revenue'!$I$47</f>
        <v>27217.72</v>
      </c>
      <c r="AG5">
        <f>'Marketplace Revenue'!$I$48</f>
        <v>29562.99</v>
      </c>
      <c r="AH5">
        <f>'Marketplace Revenue'!$I$49</f>
        <v>32972.28</v>
      </c>
      <c r="AI5">
        <f>'Marketplace Revenue'!$I$50</f>
        <v>34795.81</v>
      </c>
      <c r="AJ5">
        <f>'Marketplace Revenue'!$I$51</f>
        <v>35171.56</v>
      </c>
      <c r="AK5">
        <f>'Marketplace Revenue'!$I$52</f>
        <v>36168</v>
      </c>
    </row>
    <row r="6">
      <c r="A6" t="inlineStr">
        <is>
          <t>Subscription Revenue</t>
        </is>
      </c>
      <c r="B6">
        <f>'Subscriptions'!$L$15</f>
        <v>100</v>
      </c>
      <c r="C6">
        <f>'Subscriptions'!$L$16</f>
        <v>140</v>
      </c>
      <c r="D6">
        <f>'Subscriptions'!$L$17</f>
        <v>240</v>
      </c>
      <c r="E6">
        <f>'Subscriptions'!$L$18</f>
        <v>280</v>
      </c>
      <c r="F6">
        <f>'Subscriptions'!$L$19</f>
        <v>340</v>
      </c>
      <c r="G6">
        <f>'Subscriptions'!$L$20</f>
        <v>420</v>
      </c>
      <c r="H6">
        <f>'Subscriptions'!$L$21</f>
        <v>460</v>
      </c>
      <c r="I6">
        <f>'Subscriptions'!$L$22</f>
        <v>560</v>
      </c>
      <c r="J6">
        <f>'Subscriptions'!$L$23</f>
        <v>880</v>
      </c>
      <c r="K6">
        <f>'Subscriptions'!$L$24</f>
        <v>1700</v>
      </c>
      <c r="L6">
        <f>'Subscriptions'!$L$25</f>
        <v>1080</v>
      </c>
      <c r="M6">
        <f>'Subscriptions'!$L$26</f>
        <v>1180</v>
      </c>
      <c r="N6">
        <f>'Subscriptions'!$L$27</f>
        <v>1120</v>
      </c>
      <c r="O6">
        <f>'Subscriptions'!$L$28</f>
        <v>1220</v>
      </c>
      <c r="P6">
        <f>'Subscriptions'!$L$29</f>
        <v>1480</v>
      </c>
      <c r="Q6">
        <f>'Subscriptions'!$L$30</f>
        <v>1520</v>
      </c>
      <c r="R6">
        <f>'Subscriptions'!$L$31</f>
        <v>1660</v>
      </c>
      <c r="S6">
        <f>'Subscriptions'!$L$32</f>
        <v>1760</v>
      </c>
      <c r="T6">
        <f>'Subscriptions'!$L$33</f>
        <v>1860</v>
      </c>
      <c r="U6">
        <f>'Subscriptions'!$L$34</f>
        <v>2060</v>
      </c>
      <c r="V6">
        <f>'Subscriptions'!$L$35</f>
        <v>2760</v>
      </c>
      <c r="W6">
        <f>'Subscriptions'!$L$36</f>
        <v>4800</v>
      </c>
      <c r="X6">
        <f>'Subscriptions'!$L$37</f>
        <v>2980</v>
      </c>
      <c r="Y6">
        <f>'Subscriptions'!$L$38</f>
        <v>3040</v>
      </c>
      <c r="Z6">
        <f>'Subscriptions'!$L$39</f>
        <v>2860</v>
      </c>
      <c r="AA6">
        <f>'Subscriptions'!$L$40</f>
        <v>2980</v>
      </c>
      <c r="AB6">
        <f>'Subscriptions'!$L$41</f>
        <v>3400</v>
      </c>
      <c r="AC6">
        <f>'Subscriptions'!$L$42</f>
        <v>3340</v>
      </c>
      <c r="AD6">
        <f>'Subscriptions'!$L$43</f>
        <v>3460</v>
      </c>
      <c r="AE6">
        <f>'Subscriptions'!$L$44</f>
        <v>3600</v>
      </c>
      <c r="AF6">
        <f>'Subscriptions'!$L$45</f>
        <v>3640</v>
      </c>
      <c r="AG6">
        <f>'Subscriptions'!$L$46</f>
        <v>3880</v>
      </c>
      <c r="AH6">
        <f>'Subscriptions'!$L$47</f>
        <v>5040</v>
      </c>
      <c r="AI6">
        <f>'Subscriptions'!$L$48</f>
        <v>8060</v>
      </c>
      <c r="AJ6">
        <f>'Subscriptions'!$L$49</f>
        <v>5140</v>
      </c>
      <c r="AK6">
        <f>'Subscriptions'!$L$50</f>
        <v>5200</v>
      </c>
    </row>
    <row r="7">
      <c r="A7" t="inlineStr">
        <is>
          <t>Advertising Revenue</t>
        </is>
      </c>
      <c r="B7">
        <f>'Advertising'!$L$13</f>
        <v>84.82</v>
      </c>
      <c r="C7">
        <f>'Advertising'!$L$14</f>
        <v>105.71</v>
      </c>
      <c r="D7">
        <f>'Advertising'!$L$15</f>
        <v>147.7</v>
      </c>
      <c r="E7">
        <f>'Advertising'!$L$16</f>
        <v>155.97</v>
      </c>
      <c r="F7">
        <f>'Advertising'!$L$17</f>
        <v>173.71</v>
      </c>
      <c r="G7">
        <f>'Advertising'!$L$18</f>
        <v>202.37</v>
      </c>
      <c r="H7">
        <f>'Advertising'!$L$19</f>
        <v>219.26</v>
      </c>
      <c r="I7">
        <f>'Advertising'!$L$20</f>
        <v>249.78</v>
      </c>
      <c r="J7">
        <f>'Advertising'!$L$21</f>
        <v>365.4</v>
      </c>
      <c r="K7">
        <f>'Advertising'!$L$22</f>
        <v>667.64</v>
      </c>
      <c r="L7">
        <f>'Advertising'!$L$23</f>
        <v>416.59</v>
      </c>
      <c r="M7">
        <f>'Advertising'!$L$24</f>
        <v>430.96</v>
      </c>
      <c r="N7">
        <f>'Advertising'!$L$25</f>
        <v>409.05</v>
      </c>
      <c r="O7">
        <f>'Advertising'!$L$26</f>
        <v>427.84</v>
      </c>
      <c r="P7">
        <f>'Advertising'!$L$27</f>
        <v>500.83</v>
      </c>
      <c r="Q7">
        <f>'Advertising'!$L$28</f>
        <v>514.1</v>
      </c>
      <c r="R7">
        <f>'Advertising'!$L$29</f>
        <v>553.86</v>
      </c>
      <c r="S7">
        <f>'Advertising'!$L$30</f>
        <v>566.96</v>
      </c>
      <c r="T7">
        <f>'Advertising'!$L$31</f>
        <v>599.34</v>
      </c>
      <c r="U7">
        <f>'Advertising'!$L$32</f>
        <v>641.49</v>
      </c>
      <c r="V7">
        <f>'Advertising'!$L$33</f>
        <v>832.04</v>
      </c>
      <c r="W7">
        <f>'Advertising'!$L$34</f>
        <v>1481.83</v>
      </c>
      <c r="X7">
        <f>'Advertising'!$L$35</f>
        <v>875.86</v>
      </c>
      <c r="Y7">
        <f>'Advertising'!$L$36</f>
        <v>934.95</v>
      </c>
      <c r="Z7">
        <f>'Advertising'!$L$37</f>
        <v>844.83</v>
      </c>
      <c r="AA7">
        <f>'Advertising'!$L$38</f>
        <v>866.36</v>
      </c>
      <c r="AB7">
        <f>'Advertising'!$L$39</f>
        <v>1010.57</v>
      </c>
      <c r="AC7">
        <f>'Advertising'!$L$40</f>
        <v>973.64</v>
      </c>
      <c r="AD7">
        <f>'Advertising'!$L$41</f>
        <v>1009.44</v>
      </c>
      <c r="AE7">
        <f>'Advertising'!$L$42</f>
        <v>1024.58</v>
      </c>
      <c r="AF7">
        <f>'Advertising'!$L$43</f>
        <v>1006.11</v>
      </c>
      <c r="AG7">
        <f>'Advertising'!$L$44</f>
        <v>1116.42</v>
      </c>
      <c r="AH7">
        <f>'Advertising'!$L$45</f>
        <v>1433.44</v>
      </c>
      <c r="AI7">
        <f>'Advertising'!$L$46</f>
        <v>2255.8</v>
      </c>
      <c r="AJ7">
        <f>'Advertising'!$L$47</f>
        <v>1428.96</v>
      </c>
      <c r="AK7">
        <f>'Advertising'!$L$48</f>
        <v>1422.49</v>
      </c>
    </row>
    <row r="8">
      <c r="A8" t="inlineStr">
        <is>
          <t>Total Revenue</t>
        </is>
      </c>
      <c r="B8">
        <f>ROUND(SUM(B5:B7),2)</f>
        <v>184.82</v>
      </c>
      <c r="C8">
        <f>ROUND(SUM(C5:C7),2)</f>
        <v>245.71</v>
      </c>
      <c r="D8">
        <f>ROUND(SUM(D5:D7),2)</f>
        <v>387.7</v>
      </c>
      <c r="E8">
        <f>ROUND(SUM(E5:E7),2)</f>
        <v>435.97</v>
      </c>
      <c r="F8">
        <f>ROUND(SUM(F5:F7),2)</f>
        <v>513.71</v>
      </c>
      <c r="G8">
        <f>ROUND(SUM(G5:G7),2)</f>
        <v>622.37</v>
      </c>
      <c r="H8">
        <f>ROUND(SUM(H5:H7),2)</f>
        <v>679.26</v>
      </c>
      <c r="I8">
        <f>ROUND(SUM(I5:I7),2)</f>
        <v>809.78</v>
      </c>
      <c r="J8">
        <f>ROUND(SUM(J5:J7),2)</f>
        <v>1245.4</v>
      </c>
      <c r="K8">
        <f>ROUND(SUM(K5:K7),2)</f>
        <v>2367.64</v>
      </c>
      <c r="L8">
        <f>ROUND(SUM(L5:L7),2)</f>
        <v>1496.59</v>
      </c>
      <c r="M8">
        <f>ROUND(SUM(M5:M7),2)</f>
        <v>1610.96</v>
      </c>
      <c r="N8">
        <f>ROUND(SUM(N5:N7),2)</f>
        <v>2373.39</v>
      </c>
      <c r="O8">
        <f>ROUND(SUM(O5:O7),2)</f>
        <v>3888.34</v>
      </c>
      <c r="P8">
        <f>ROUND(SUM(P5:P7),2)</f>
        <v>5879.43</v>
      </c>
      <c r="Q8">
        <f>ROUND(SUM(Q5:Q7),2)</f>
        <v>7288.29</v>
      </c>
      <c r="R8">
        <f>ROUND(SUM(R5:R7),2)</f>
        <v>8766.8</v>
      </c>
      <c r="S8">
        <f>ROUND(SUM(S5:S7),2)</f>
        <v>10502.33</v>
      </c>
      <c r="T8">
        <f>ROUND(SUM(T5:T7),2)</f>
        <v>12169.27</v>
      </c>
      <c r="U8">
        <f>ROUND(SUM(U5:U7),2)</f>
        <v>13982.97</v>
      </c>
      <c r="V8">
        <f>ROUND(SUM(V5:V7),2)</f>
        <v>16487.16</v>
      </c>
      <c r="W8">
        <f>ROUND(SUM(W5:W7),2)</f>
        <v>22722.95</v>
      </c>
      <c r="X8">
        <f>ROUND(SUM(X5:X7),2)</f>
        <v>18298.65</v>
      </c>
      <c r="Y8">
        <f>ROUND(SUM(Y5:Y7),2)</f>
        <v>21382.28</v>
      </c>
      <c r="Z8">
        <f>ROUND(SUM(Z5:Z7),2)</f>
        <v>22053.45</v>
      </c>
      <c r="AA8">
        <f>ROUND(SUM(AA5:AA7),2)</f>
        <v>23849.55</v>
      </c>
      <c r="AB8">
        <f>ROUND(SUM(AB5:AB7),2)</f>
        <v>26450.61</v>
      </c>
      <c r="AC8">
        <f>ROUND(SUM(AC5:AC7),2)</f>
        <v>27992.17</v>
      </c>
      <c r="AD8">
        <f>ROUND(SUM(AD5:AD7),2)</f>
        <v>29776.64</v>
      </c>
      <c r="AE8">
        <f>ROUND(SUM(AE5:AE7),2)</f>
        <v>31732.54</v>
      </c>
      <c r="AF8">
        <f>ROUND(SUM(AF5:AF7),2)</f>
        <v>31863.83</v>
      </c>
      <c r="AG8">
        <f>ROUND(SUM(AG5:AG7),2)</f>
        <v>34559.41</v>
      </c>
      <c r="AH8">
        <f>ROUND(SUM(AH5:AH7),2)</f>
        <v>39445.72</v>
      </c>
      <c r="AI8">
        <f>ROUND(SUM(AI5:AI7),2)</f>
        <v>45111.61</v>
      </c>
      <c r="AJ8">
        <f>ROUND(SUM(AJ5:AJ7),2)</f>
        <v>41740.52</v>
      </c>
      <c r="AK8">
        <f>ROUND(SUM(AK5:AK7),2)</f>
        <v>42790.49</v>
      </c>
    </row>
    <row r="9">
      <c r="A9" t="inlineStr">
        <is>
          <t/>
        </is>
      </c>
    </row>
    <row r="10">
      <c r="A10" t="inlineStr">
        <is>
          <t>Technology &amp; Infrastructure OpEx</t>
        </is>
      </c>
      <c r="B10">
        <f>'OpEx'!$D$25</f>
        <v>106.92</v>
      </c>
      <c r="C10">
        <f>'OpEx'!$D$26</f>
        <v>107.42</v>
      </c>
      <c r="D10">
        <f>'OpEx'!$D$27</f>
        <v>108.13</v>
      </c>
      <c r="E10">
        <f>'OpEx'!$D$28</f>
        <v>108.81</v>
      </c>
      <c r="F10">
        <f>'OpEx'!$D$29</f>
        <v>109.54</v>
      </c>
      <c r="G10">
        <f>'OpEx'!$D$30</f>
        <v>110.41</v>
      </c>
      <c r="H10">
        <f>'OpEx'!$D$31</f>
        <v>111.27</v>
      </c>
      <c r="I10">
        <f>'OpEx'!$D$32</f>
        <v>112.28</v>
      </c>
      <c r="J10">
        <f>'OpEx'!$D$33</f>
        <v>113.97</v>
      </c>
      <c r="K10">
        <f>'OpEx'!$D$34</f>
        <v>117.45</v>
      </c>
      <c r="L10">
        <f>'OpEx'!$D$35</f>
        <v>118.31</v>
      </c>
      <c r="M10">
        <f>'OpEx'!$D$36</f>
        <v>119.93</v>
      </c>
      <c r="N10">
        <f>'OpEx'!$D$37</f>
        <v>121.27</v>
      </c>
      <c r="O10">
        <f>'OpEx'!$D$38</f>
        <v>122.71</v>
      </c>
      <c r="P10">
        <f>'OpEx'!$D$39</f>
        <v>124.62</v>
      </c>
      <c r="Q10">
        <f>'OpEx'!$D$40</f>
        <v>126.35</v>
      </c>
      <c r="R10">
        <f>'OpEx'!$D$41</f>
        <v>128.22</v>
      </c>
      <c r="S10">
        <f>'OpEx'!$D$42</f>
        <v>130.12</v>
      </c>
      <c r="T10">
        <f>'OpEx'!$D$43</f>
        <v>132.1</v>
      </c>
      <c r="U10">
        <f>'OpEx'!$D$44</f>
        <v>134.3</v>
      </c>
      <c r="V10">
        <f>'OpEx'!$D$45</f>
        <v>137.74</v>
      </c>
      <c r="W10">
        <f>'OpEx'!$D$46</f>
        <v>144.77</v>
      </c>
      <c r="X10">
        <f>'OpEx'!$D$47</f>
        <v>146.3</v>
      </c>
      <c r="Y10">
        <f>'OpEx'!$D$48</f>
        <v>149.18</v>
      </c>
      <c r="Z10">
        <f>'OpEx'!$D$49</f>
        <v>151.64</v>
      </c>
      <c r="AA10">
        <f>'OpEx'!$D$50</f>
        <v>154.26</v>
      </c>
      <c r="AB10">
        <f>'OpEx'!$D$51</f>
        <v>157.54</v>
      </c>
      <c r="AC10">
        <f>'OpEx'!$D$52</f>
        <v>160.34</v>
      </c>
      <c r="AD10">
        <f>'OpEx'!$D$53</f>
        <v>163.31</v>
      </c>
      <c r="AE10">
        <f>'OpEx'!$D$54</f>
        <v>166.36</v>
      </c>
      <c r="AF10">
        <f>'OpEx'!$D$55</f>
        <v>169.33</v>
      </c>
      <c r="AG10">
        <f>'OpEx'!$D$56</f>
        <v>172.64</v>
      </c>
      <c r="AH10">
        <f>'OpEx'!$D$57</f>
        <v>177.91</v>
      </c>
      <c r="AI10">
        <f>'OpEx'!$D$58</f>
        <v>188.02</v>
      </c>
      <c r="AJ10">
        <f>'OpEx'!$D$59</f>
        <v>190.25</v>
      </c>
      <c r="AK10">
        <f>'OpEx'!$D$60</f>
        <v>194.44</v>
      </c>
    </row>
    <row r="11">
      <c r="A11" t="inlineStr">
        <is>
          <t>Sales &amp; Marketing OpEx</t>
        </is>
      </c>
      <c r="B11">
        <f>'OpEx'!$E$25</f>
        <v>0</v>
      </c>
      <c r="C11">
        <f>'OpEx'!$E$26</f>
        <v>0</v>
      </c>
      <c r="D11">
        <f>'OpEx'!$E$27</f>
        <v>0</v>
      </c>
      <c r="E11">
        <f>'OpEx'!$E$28</f>
        <v>0</v>
      </c>
      <c r="F11">
        <f>'OpEx'!$E$29</f>
        <v>0</v>
      </c>
      <c r="G11">
        <f>'OpEx'!$E$30</f>
        <v>0</v>
      </c>
      <c r="H11">
        <f>'OpEx'!$E$31</f>
        <v>0</v>
      </c>
      <c r="I11">
        <f>'OpEx'!$E$32</f>
        <v>0</v>
      </c>
      <c r="J11">
        <f>'OpEx'!$E$33</f>
        <v>3800</v>
      </c>
      <c r="K11">
        <f>'OpEx'!$E$34</f>
        <v>3800</v>
      </c>
      <c r="L11">
        <f>'OpEx'!$E$35</f>
        <v>0</v>
      </c>
      <c r="M11">
        <f>'OpEx'!$E$36</f>
        <v>0</v>
      </c>
      <c r="N11">
        <f>'OpEx'!$E$37</f>
        <v>0</v>
      </c>
      <c r="O11">
        <f>'OpEx'!$E$38</f>
        <v>0</v>
      </c>
      <c r="P11">
        <f>'OpEx'!$E$39</f>
        <v>0</v>
      </c>
      <c r="Q11">
        <f>'OpEx'!$E$40</f>
        <v>0</v>
      </c>
      <c r="R11">
        <f>'OpEx'!$E$41</f>
        <v>0</v>
      </c>
      <c r="S11">
        <f>'OpEx'!$E$42</f>
        <v>0</v>
      </c>
      <c r="T11">
        <f>'OpEx'!$E$43</f>
        <v>0</v>
      </c>
      <c r="U11">
        <f>'OpEx'!$E$44</f>
        <v>0</v>
      </c>
      <c r="V11">
        <f>'OpEx'!$E$45</f>
        <v>5950</v>
      </c>
      <c r="W11">
        <f>'OpEx'!$E$46</f>
        <v>5950</v>
      </c>
      <c r="X11">
        <f>'OpEx'!$E$47</f>
        <v>0</v>
      </c>
      <c r="Y11">
        <f>'OpEx'!$E$48</f>
        <v>0</v>
      </c>
      <c r="Z11">
        <f>'OpEx'!$E$49</f>
        <v>0</v>
      </c>
      <c r="AA11">
        <f>'OpEx'!$E$50</f>
        <v>0</v>
      </c>
      <c r="AB11">
        <f>'OpEx'!$E$51</f>
        <v>0</v>
      </c>
      <c r="AC11">
        <f>'OpEx'!$E$52</f>
        <v>0</v>
      </c>
      <c r="AD11">
        <f>'OpEx'!$E$53</f>
        <v>0</v>
      </c>
      <c r="AE11">
        <f>'OpEx'!$E$54</f>
        <v>0</v>
      </c>
      <c r="AF11">
        <f>'OpEx'!$E$55</f>
        <v>0</v>
      </c>
      <c r="AG11">
        <f>'OpEx'!$E$56</f>
        <v>0</v>
      </c>
      <c r="AH11">
        <f>'OpEx'!$E$57</f>
        <v>8000</v>
      </c>
      <c r="AI11">
        <f>'OpEx'!$E$58</f>
        <v>8000</v>
      </c>
      <c r="AJ11">
        <f>'OpEx'!$E$59</f>
        <v>0</v>
      </c>
      <c r="AK11">
        <f>'OpEx'!$E$60</f>
        <v>0</v>
      </c>
    </row>
    <row r="12">
      <c r="A12" t="inlineStr">
        <is>
          <t>G&amp;A OpEx</t>
        </is>
      </c>
      <c r="B12">
        <f>'OpEx'!$F$25</f>
        <v>531.5</v>
      </c>
      <c r="C12">
        <f>'OpEx'!$F$26</f>
        <v>31.5</v>
      </c>
      <c r="D12">
        <f>'OpEx'!$F$27</f>
        <v>31.5</v>
      </c>
      <c r="E12">
        <f>'OpEx'!$F$28</f>
        <v>31.5</v>
      </c>
      <c r="F12">
        <f>'OpEx'!$F$29</f>
        <v>31.5</v>
      </c>
      <c r="G12">
        <f>'OpEx'!$F$30</f>
        <v>31.5</v>
      </c>
      <c r="H12">
        <f>'OpEx'!$F$31</f>
        <v>31.5</v>
      </c>
      <c r="I12">
        <f>'OpEx'!$F$32</f>
        <v>31.5</v>
      </c>
      <c r="J12">
        <f>'OpEx'!$F$33</f>
        <v>31.5</v>
      </c>
      <c r="K12">
        <f>'OpEx'!$F$34</f>
        <v>31.5</v>
      </c>
      <c r="L12">
        <f>'OpEx'!$F$35</f>
        <v>31.5</v>
      </c>
      <c r="M12">
        <f>'OpEx'!$F$36</f>
        <v>31.5</v>
      </c>
      <c r="N12">
        <f>'OpEx'!$F$37</f>
        <v>31.5</v>
      </c>
      <c r="O12">
        <f>'OpEx'!$F$38</f>
        <v>31.5</v>
      </c>
      <c r="P12">
        <f>'OpEx'!$F$39</f>
        <v>31.5</v>
      </c>
      <c r="Q12">
        <f>'OpEx'!$F$40</f>
        <v>31.5</v>
      </c>
      <c r="R12">
        <f>'OpEx'!$F$41</f>
        <v>31.5</v>
      </c>
      <c r="S12">
        <f>'OpEx'!$F$42</f>
        <v>31.5</v>
      </c>
      <c r="T12">
        <f>'OpEx'!$F$43</f>
        <v>31.5</v>
      </c>
      <c r="U12">
        <f>'OpEx'!$F$44</f>
        <v>31.5</v>
      </c>
      <c r="V12">
        <f>'OpEx'!$F$45</f>
        <v>31.5</v>
      </c>
      <c r="W12">
        <f>'OpEx'!$F$46</f>
        <v>31.5</v>
      </c>
      <c r="X12">
        <f>'OpEx'!$F$47</f>
        <v>31.5</v>
      </c>
      <c r="Y12">
        <f>'OpEx'!$F$48</f>
        <v>31.5</v>
      </c>
      <c r="Z12">
        <f>'OpEx'!$F$49</f>
        <v>47.25</v>
      </c>
      <c r="AA12">
        <f>'OpEx'!$F$50</f>
        <v>47.25</v>
      </c>
      <c r="AB12">
        <f>'OpEx'!$F$51</f>
        <v>47.25</v>
      </c>
      <c r="AC12">
        <f>'OpEx'!$F$52</f>
        <v>47.25</v>
      </c>
      <c r="AD12">
        <f>'OpEx'!$F$53</f>
        <v>47.25</v>
      </c>
      <c r="AE12">
        <f>'OpEx'!$F$54</f>
        <v>47.25</v>
      </c>
      <c r="AF12">
        <f>'OpEx'!$F$55</f>
        <v>47.25</v>
      </c>
      <c r="AG12">
        <f>'OpEx'!$F$56</f>
        <v>47.25</v>
      </c>
      <c r="AH12">
        <f>'OpEx'!$F$57</f>
        <v>47.25</v>
      </c>
      <c r="AI12">
        <f>'OpEx'!$F$58</f>
        <v>47.25</v>
      </c>
      <c r="AJ12">
        <f>'OpEx'!$F$59</f>
        <v>47.25</v>
      </c>
      <c r="AK12">
        <f>'OpEx'!$F$60</f>
        <v>47.25</v>
      </c>
    </row>
    <row r="13">
      <c r="A13" t="inlineStr">
        <is>
          <t>Total Operating Expenses</t>
        </is>
      </c>
      <c r="B13">
        <f>'OpEx'!$G$25</f>
        <v>638.42</v>
      </c>
      <c r="C13">
        <f>'OpEx'!$G$26</f>
        <v>138.92</v>
      </c>
      <c r="D13">
        <f>'OpEx'!$G$27</f>
        <v>139.63</v>
      </c>
      <c r="E13">
        <f>'OpEx'!$G$28</f>
        <v>140.31</v>
      </c>
      <c r="F13">
        <f>'OpEx'!$G$29</f>
        <v>141.04</v>
      </c>
      <c r="G13">
        <f>'OpEx'!$G$30</f>
        <v>141.91</v>
      </c>
      <c r="H13">
        <f>'OpEx'!$G$31</f>
        <v>142.77</v>
      </c>
      <c r="I13">
        <f>'OpEx'!$G$32</f>
        <v>143.78</v>
      </c>
      <c r="J13">
        <f>'OpEx'!$G$33</f>
        <v>3945.47</v>
      </c>
      <c r="K13">
        <f>'OpEx'!$G$34</f>
        <v>3948.95</v>
      </c>
      <c r="L13">
        <f>'OpEx'!$G$35</f>
        <v>149.81</v>
      </c>
      <c r="M13">
        <f>'OpEx'!$G$36</f>
        <v>151.43</v>
      </c>
      <c r="N13">
        <f>'OpEx'!$G$37</f>
        <v>152.77</v>
      </c>
      <c r="O13">
        <f>'OpEx'!$G$38</f>
        <v>154.21</v>
      </c>
      <c r="P13">
        <f>'OpEx'!$G$39</f>
        <v>156.12</v>
      </c>
      <c r="Q13">
        <f>'OpEx'!$G$40</f>
        <v>157.85</v>
      </c>
      <c r="R13">
        <f>'OpEx'!$G$41</f>
        <v>159.72</v>
      </c>
      <c r="S13">
        <f>'OpEx'!$G$42</f>
        <v>161.62</v>
      </c>
      <c r="T13">
        <f>'OpEx'!$G$43</f>
        <v>163.6</v>
      </c>
      <c r="U13">
        <f>'OpEx'!$G$44</f>
        <v>165.8</v>
      </c>
      <c r="V13">
        <f>'OpEx'!$G$45</f>
        <v>6119.24</v>
      </c>
      <c r="W13">
        <f>'OpEx'!$G$46</f>
        <v>6126.27</v>
      </c>
      <c r="X13">
        <f>'OpEx'!$G$47</f>
        <v>177.8</v>
      </c>
      <c r="Y13">
        <f>'OpEx'!$G$48</f>
        <v>180.68</v>
      </c>
      <c r="Z13">
        <f>'OpEx'!$G$49</f>
        <v>198.89</v>
      </c>
      <c r="AA13">
        <f>'OpEx'!$G$50</f>
        <v>201.51</v>
      </c>
      <c r="AB13">
        <f>'OpEx'!$G$51</f>
        <v>204.79</v>
      </c>
      <c r="AC13">
        <f>'OpEx'!$G$52</f>
        <v>207.59</v>
      </c>
      <c r="AD13">
        <f>'OpEx'!$G$53</f>
        <v>210.56</v>
      </c>
      <c r="AE13">
        <f>'OpEx'!$G$54</f>
        <v>213.61</v>
      </c>
      <c r="AF13">
        <f>'OpEx'!$G$55</f>
        <v>216.58</v>
      </c>
      <c r="AG13">
        <f>'OpEx'!$G$56</f>
        <v>219.89</v>
      </c>
      <c r="AH13">
        <f>'OpEx'!$G$57</f>
        <v>8225.16</v>
      </c>
      <c r="AI13">
        <f>'OpEx'!$G$58</f>
        <v>8235.27</v>
      </c>
      <c r="AJ13">
        <f>'OpEx'!$G$59</f>
        <v>237.5</v>
      </c>
      <c r="AK13">
        <f>'OpEx'!$G$60</f>
        <v>241.69</v>
      </c>
    </row>
    <row r="14">
      <c r="A14" t="inlineStr">
        <is>
          <t>Operating Profit / (Loss)</t>
        </is>
      </c>
      <c r="B14">
        <f>ROUND(B8-B13,2)</f>
        <v>-453.6</v>
      </c>
      <c r="C14">
        <f>ROUND(C8-C13,2)</f>
        <v>106.79</v>
      </c>
      <c r="D14">
        <f>ROUND(D8-D13,2)</f>
        <v>248.07</v>
      </c>
      <c r="E14">
        <f>ROUND(E8-E13,2)</f>
        <v>295.66</v>
      </c>
      <c r="F14">
        <f>ROUND(F8-F13,2)</f>
        <v>372.67</v>
      </c>
      <c r="G14">
        <f>ROUND(G8-G13,2)</f>
        <v>480.46</v>
      </c>
      <c r="H14">
        <f>ROUND(H8-H13,2)</f>
        <v>536.49</v>
      </c>
      <c r="I14">
        <f>ROUND(I8-I13,2)</f>
        <v>666</v>
      </c>
      <c r="J14">
        <f>ROUND(J8-J13,2)</f>
        <v>-2700.07</v>
      </c>
      <c r="K14">
        <f>ROUND(K8-K13,2)</f>
        <v>-1581.31</v>
      </c>
      <c r="L14">
        <f>ROUND(L8-L13,2)</f>
        <v>1346.78</v>
      </c>
      <c r="M14">
        <f>ROUND(M8-M13,2)</f>
        <v>1459.53</v>
      </c>
      <c r="N14">
        <f>ROUND(N8-N13,2)</f>
        <v>2220.62</v>
      </c>
      <c r="O14">
        <f>ROUND(O8-O13,2)</f>
        <v>3734.13</v>
      </c>
      <c r="P14">
        <f>ROUND(P8-P13,2)</f>
        <v>5723.31</v>
      </c>
      <c r="Q14">
        <f>ROUND(Q8-Q13,2)</f>
        <v>7130.44</v>
      </c>
      <c r="R14">
        <f>ROUND(R8-R13,2)</f>
        <v>8607.08</v>
      </c>
      <c r="S14">
        <f>ROUND(S8-S13,2)</f>
        <v>10340.71</v>
      </c>
      <c r="T14">
        <f>ROUND(T8-T13,2)</f>
        <v>12005.67</v>
      </c>
      <c r="U14">
        <f>ROUND(U8-U13,2)</f>
        <v>13817.17</v>
      </c>
      <c r="V14">
        <f>ROUND(V8-V13,2)</f>
        <v>10367.92</v>
      </c>
      <c r="W14">
        <f>ROUND(W8-W13,2)</f>
        <v>16596.68</v>
      </c>
      <c r="X14">
        <f>ROUND(X8-X13,2)</f>
        <v>18120.85</v>
      </c>
      <c r="Y14">
        <f>ROUND(Y8-Y13,2)</f>
        <v>21201.6</v>
      </c>
      <c r="Z14">
        <f>ROUND(Z8-Z13,2)</f>
        <v>21854.56</v>
      </c>
      <c r="AA14">
        <f>ROUND(AA8-AA13,2)</f>
        <v>23648.04</v>
      </c>
      <c r="AB14">
        <f>ROUND(AB8-AB13,2)</f>
        <v>26245.82</v>
      </c>
      <c r="AC14">
        <f>ROUND(AC8-AC13,2)</f>
        <v>27784.58</v>
      </c>
      <c r="AD14">
        <f>ROUND(AD8-AD13,2)</f>
        <v>29566.08</v>
      </c>
      <c r="AE14">
        <f>ROUND(AE8-AE13,2)</f>
        <v>31518.93</v>
      </c>
      <c r="AF14">
        <f>ROUND(AF8-AF13,2)</f>
        <v>31647.25</v>
      </c>
      <c r="AG14">
        <f>ROUND(AG8-AG13,2)</f>
        <v>34339.52</v>
      </c>
      <c r="AH14">
        <f>ROUND(AH8-AH13,2)</f>
        <v>31220.56</v>
      </c>
      <c r="AI14">
        <f>ROUND(AI8-AI13,2)</f>
        <v>36876.34</v>
      </c>
      <c r="AJ14">
        <f>ROUND(AJ8-AJ13,2)</f>
        <v>41503.02</v>
      </c>
      <c r="AK14">
        <f>ROUND(AK8-AK13,2)</f>
        <v>42548.8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1"/>
  <sheetViews>
    <sheetView workbookViewId="0"/>
  </sheetViews>
  <sheetFormatPr defaultRowHeight="15"/>
  <sheetData>
    <row r="1">
      <c r="A1" t="inlineStr">
        <is>
          <t>[Marketplace Revenue Assumptions]</t>
        </is>
      </c>
      <c r="B1" t="inlineStr">
        <is>
          <t/>
        </is>
      </c>
      <c r="C1" t="inlineStr">
        <is>
          <t>Inputs used by the marketplace fee projection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projection_start_month</t>
        </is>
      </c>
      <c r="B3" t="inlineStr">
        <is>
          <t>2026-03</t>
        </is>
      </c>
      <c r="C3" t="inlineStr">
        <is>
          <t>First month of the synthetic projection in YYYY-MM format.</t>
        </is>
      </c>
    </row>
    <row r="4">
      <c r="A4" t="inlineStr">
        <is>
          <t>seasonality_lookback_years</t>
        </is>
      </c>
      <c r="B4">
        <v>10</v>
      </c>
      <c r="C4" t="inlineStr">
        <is>
          <t>Historical lookback window used to build month-level seasonality factors.</t>
        </is>
      </c>
    </row>
    <row r="5">
      <c r="A5" t="inlineStr">
        <is>
          <t>baseline_month</t>
        </is>
      </c>
      <c r="B5" t="inlineStr">
        <is>
          <t>2026-03-01</t>
        </is>
      </c>
      <c r="C5" t="inlineStr">
        <is>
          <t>Observed marketplace month used to anchor GMV and average selling price.</t>
        </is>
      </c>
    </row>
    <row r="6">
      <c r="A6" t="inlineStr">
        <is>
          <t>baseline_month_gmv_usd</t>
        </is>
      </c>
      <c r="B6">
        <v>2165763</v>
      </c>
      <c r="C6" t="inlineStr">
        <is>
          <t>Observed GMV for the baseline month from raw daily sales data.</t>
        </is>
      </c>
    </row>
    <row r="7">
      <c r="A7" t="inlineStr">
        <is>
          <t>baseline_month_transaction_count</t>
        </is>
      </c>
      <c r="B7">
        <v>514</v>
      </c>
      <c r="C7" t="inlineStr">
        <is>
          <t>Observed transaction count for the baseline month from raw daily sales data.</t>
        </is>
      </c>
    </row>
    <row r="8">
      <c r="A8" t="inlineStr">
        <is>
          <t>baseline_month_avg_sell_price_usd</t>
        </is>
      </c>
      <c r="B8">
        <v>4213.55</v>
      </c>
      <c r="C8" t="inlineStr">
        <is>
          <t>Derived average selling price for the baseline month.</t>
        </is>
      </c>
    </row>
    <row r="9">
      <c r="A9" t="inlineStr">
        <is>
          <t>sales_cagr</t>
        </is>
      </c>
      <c r="B9">
        <v>0.03</v>
      </c>
      <c r="C9" t="inlineStr">
        <is>
          <t>Annual growth rate applied to marketplace sales in Years 2 and 3.</t>
        </is>
      </c>
    </row>
    <row r="10">
      <c r="A10" t="inlineStr">
        <is>
          <t>avg_sell_price_annual_growth</t>
        </is>
      </c>
      <c r="B10">
        <v>0.03</v>
      </c>
      <c r="C10" t="inlineStr">
        <is>
          <t>Annual inflation-style growth rate applied to average selling price.</t>
        </is>
      </c>
    </row>
    <row r="11">
      <c r="A11" t="inlineStr">
        <is>
          <t>take_rate</t>
        </is>
      </c>
      <c r="B11">
        <v>0.02</v>
      </c>
      <c r="C11" t="inlineStr">
        <is>
          <t>Marketplace fee rate applied to projected GMV.</t>
        </is>
      </c>
    </row>
    <row r="12">
      <c r="A12" t="inlineStr">
        <is>
          <t>year2_3_min_txns</t>
        </is>
      </c>
      <c r="B12">
        <v>10</v>
      </c>
      <c r="C12" t="inlineStr">
        <is>
          <t>Lower bound for projected monthly transaction count after Year 1.</t>
        </is>
      </c>
    </row>
    <row r="13">
      <c r="A13" t="inlineStr">
        <is>
          <t>year2_3_max_txns</t>
        </is>
      </c>
      <c r="B13">
        <v>400</v>
      </c>
      <c r="C13" t="inlineStr">
        <is>
          <t>Upper bound for projected monthly transaction count after Year 1.</t>
        </is>
      </c>
    </row>
    <row r="14">
      <c r="A14" t="inlineStr">
        <is>
          <t>jitter_std</t>
        </is>
      </c>
      <c r="B14">
        <v>0.05</v>
      </c>
      <c r="C14" t="inlineStr">
        <is>
          <t>Standard deviation used by the random-driver formulas.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/>
        </is>
      </c>
    </row>
    <row r="16">
      <c r="A16" t="inlineStr">
        <is>
          <t>month</t>
        </is>
      </c>
      <c r="B16" t="inlineStr">
        <is>
          <t>year_index</t>
        </is>
      </c>
      <c r="C16" t="inlineStr">
        <is>
          <t>phase</t>
        </is>
      </c>
      <c r="D16" t="inlineStr">
        <is>
          <t>transaction_count</t>
        </is>
      </c>
      <c r="E16" t="inlineStr">
        <is>
          <t>avg_sell_price_growth</t>
        </is>
      </c>
      <c r="F16" t="inlineStr">
        <is>
          <t>avg_sell_price_usd</t>
        </is>
      </c>
      <c r="G16" t="inlineStr">
        <is>
          <t>gross_market_value_usd</t>
        </is>
      </c>
      <c r="H16" t="inlineStr">
        <is>
          <t>take_rate</t>
        </is>
      </c>
      <c r="I16" t="inlineStr">
        <is>
          <t>transaction_fee_revenue_usd</t>
        </is>
      </c>
    </row>
    <row r="17">
      <c r="A17" t="inlineStr">
        <is>
          <t>2026-03-01</t>
        </is>
      </c>
      <c r="B17">
        <v>1</v>
      </c>
      <c r="C17" t="inlineStr">
        <is>
          <t>phase_1_user_growth</t>
        </is>
      </c>
      <c r="D17">
        <f>IF($B17=1,0,MIN($B$13,MAX($B$12,ROUND(J56*K56*F56,0))))</f>
        <v>0</v>
      </c>
      <c r="E17">
        <f>IF($B17=1,0,1+($B$10*-12/12))</f>
        <v>0</v>
      </c>
      <c r="F17">
        <f>IF($B17=1,0,ROUND($B$8*E17*G56,2))</f>
        <v>0</v>
      </c>
      <c r="G17">
        <f>ROUND(D17*F17,2)</f>
        <v>0</v>
      </c>
      <c r="H17">
        <f>$B$11</f>
        <v>0.02</v>
      </c>
      <c r="I17">
        <f>ROUND(IF(D17&gt;0,G17*H17,0),2)</f>
        <v>0</v>
      </c>
    </row>
    <row r="18">
      <c r="A18" t="inlineStr">
        <is>
          <t>2026-04-01</t>
        </is>
      </c>
      <c r="B18">
        <v>1</v>
      </c>
      <c r="C18" t="inlineStr">
        <is>
          <t>phase_1_user_growth</t>
        </is>
      </c>
      <c r="D18">
        <f>IF($B18=1,0,MIN($B$13,MAX($B$12,ROUND(J57*K57*F57,0))))</f>
        <v>0</v>
      </c>
      <c r="E18">
        <f>IF($B18=1,0,1+($B$10*-11/12))</f>
        <v>0</v>
      </c>
      <c r="F18">
        <f>IF($B18=1,0,ROUND($B$8*E18*G57,2))</f>
        <v>0</v>
      </c>
      <c r="G18">
        <f>ROUND(D18*F18,2)</f>
        <v>0</v>
      </c>
      <c r="H18">
        <f>$B$11</f>
        <v>0.02</v>
      </c>
      <c r="I18">
        <f>ROUND(IF(D18&gt;0,G18*H18,0),2)</f>
        <v>0</v>
      </c>
    </row>
    <row r="19">
      <c r="A19" t="inlineStr">
        <is>
          <t>2026-05-01</t>
        </is>
      </c>
      <c r="B19">
        <v>1</v>
      </c>
      <c r="C19" t="inlineStr">
        <is>
          <t>phase_1_user_growth</t>
        </is>
      </c>
      <c r="D19">
        <f>IF($B19=1,0,MIN($B$13,MAX($B$12,ROUND(J58*K58*F58,0))))</f>
        <v>0</v>
      </c>
      <c r="E19">
        <f>IF($B19=1,0,1+($B$10*-10/12))</f>
        <v>0</v>
      </c>
      <c r="F19">
        <f>IF($B19=1,0,ROUND($B$8*E19*G58,2))</f>
        <v>0</v>
      </c>
      <c r="G19">
        <f>ROUND(D19*F19,2)</f>
        <v>0</v>
      </c>
      <c r="H19">
        <f>$B$11</f>
        <v>0.02</v>
      </c>
      <c r="I19">
        <f>ROUND(IF(D19&gt;0,G19*H19,0),2)</f>
        <v>0</v>
      </c>
    </row>
    <row r="20">
      <c r="A20" t="inlineStr">
        <is>
          <t>2026-06-01</t>
        </is>
      </c>
      <c r="B20">
        <v>1</v>
      </c>
      <c r="C20" t="inlineStr">
        <is>
          <t>phase_1_user_growth</t>
        </is>
      </c>
      <c r="D20">
        <f>IF($B20=1,0,MIN($B$13,MAX($B$12,ROUND(J59*K59*F59,0))))</f>
        <v>0</v>
      </c>
      <c r="E20">
        <f>IF($B20=1,0,1+($B$10*-9/12))</f>
        <v>0</v>
      </c>
      <c r="F20">
        <f>IF($B20=1,0,ROUND($B$8*E20*G59,2))</f>
        <v>0</v>
      </c>
      <c r="G20">
        <f>ROUND(D20*F20,2)</f>
        <v>0</v>
      </c>
      <c r="H20">
        <f>$B$11</f>
        <v>0.02</v>
      </c>
      <c r="I20">
        <f>ROUND(IF(D20&gt;0,G20*H20,0),2)</f>
        <v>0</v>
      </c>
    </row>
    <row r="21">
      <c r="A21" t="inlineStr">
        <is>
          <t>2026-07-01</t>
        </is>
      </c>
      <c r="B21">
        <v>1</v>
      </c>
      <c r="C21" t="inlineStr">
        <is>
          <t>phase_1_user_growth</t>
        </is>
      </c>
      <c r="D21">
        <f>IF($B21=1,0,MIN($B$13,MAX($B$12,ROUND(J60*K60*F60,0))))</f>
        <v>0</v>
      </c>
      <c r="E21">
        <f>IF($B21=1,0,1+($B$10*-8/12))</f>
        <v>0</v>
      </c>
      <c r="F21">
        <f>IF($B21=1,0,ROUND($B$8*E21*G60,2))</f>
        <v>0</v>
      </c>
      <c r="G21">
        <f>ROUND(D21*F21,2)</f>
        <v>0</v>
      </c>
      <c r="H21">
        <f>$B$11</f>
        <v>0.02</v>
      </c>
      <c r="I21">
        <f>ROUND(IF(D21&gt;0,G21*H21,0),2)</f>
        <v>0</v>
      </c>
    </row>
    <row r="22">
      <c r="A22" t="inlineStr">
        <is>
          <t>2026-08-01</t>
        </is>
      </c>
      <c r="B22">
        <v>1</v>
      </c>
      <c r="C22" t="inlineStr">
        <is>
          <t>phase_1_user_growth</t>
        </is>
      </c>
      <c r="D22">
        <f>IF($B22=1,0,MIN($B$13,MAX($B$12,ROUND(J61*K61*F61,0))))</f>
        <v>0</v>
      </c>
      <c r="E22">
        <f>IF($B22=1,0,1+($B$10*-7/12))</f>
        <v>0</v>
      </c>
      <c r="F22">
        <f>IF($B22=1,0,ROUND($B$8*E22*G61,2))</f>
        <v>0</v>
      </c>
      <c r="G22">
        <f>ROUND(D22*F22,2)</f>
        <v>0</v>
      </c>
      <c r="H22">
        <f>$B$11</f>
        <v>0.02</v>
      </c>
      <c r="I22">
        <f>ROUND(IF(D22&gt;0,G22*H22,0),2)</f>
        <v>0</v>
      </c>
    </row>
    <row r="23">
      <c r="A23" t="inlineStr">
        <is>
          <t>2026-09-01</t>
        </is>
      </c>
      <c r="B23">
        <v>1</v>
      </c>
      <c r="C23" t="inlineStr">
        <is>
          <t>phase_1_user_growth</t>
        </is>
      </c>
      <c r="D23">
        <f>IF($B23=1,0,MIN($B$13,MAX($B$12,ROUND(J62*K62*F62,0))))</f>
        <v>0</v>
      </c>
      <c r="E23">
        <f>IF($B23=1,0,1+($B$10*-6/12))</f>
        <v>0</v>
      </c>
      <c r="F23">
        <f>IF($B23=1,0,ROUND($B$8*E23*G62,2))</f>
        <v>0</v>
      </c>
      <c r="G23">
        <f>ROUND(D23*F23,2)</f>
        <v>0</v>
      </c>
      <c r="H23">
        <f>$B$11</f>
        <v>0.02</v>
      </c>
      <c r="I23">
        <f>ROUND(IF(D23&gt;0,G23*H23,0),2)</f>
        <v>0</v>
      </c>
    </row>
    <row r="24">
      <c r="A24" t="inlineStr">
        <is>
          <t>2026-10-01</t>
        </is>
      </c>
      <c r="B24">
        <v>1</v>
      </c>
      <c r="C24" t="inlineStr">
        <is>
          <t>phase_1_user_growth</t>
        </is>
      </c>
      <c r="D24">
        <f>IF($B24=1,0,MIN($B$13,MAX($B$12,ROUND(J63*K63*F63,0))))</f>
        <v>0</v>
      </c>
      <c r="E24">
        <f>IF($B24=1,0,1+($B$10*-5/12))</f>
        <v>0</v>
      </c>
      <c r="F24">
        <f>IF($B24=1,0,ROUND($B$8*E24*G63,2))</f>
        <v>0</v>
      </c>
      <c r="G24">
        <f>ROUND(D24*F24,2)</f>
        <v>0</v>
      </c>
      <c r="H24">
        <f>$B$11</f>
        <v>0.02</v>
      </c>
      <c r="I24">
        <f>ROUND(IF(D24&gt;0,G24*H24,0),2)</f>
        <v>0</v>
      </c>
    </row>
    <row r="25">
      <c r="A25" t="inlineStr">
        <is>
          <t>2026-11-01</t>
        </is>
      </c>
      <c r="B25">
        <v>1</v>
      </c>
      <c r="C25" t="inlineStr">
        <is>
          <t>phase_1_user_growth</t>
        </is>
      </c>
      <c r="D25">
        <f>IF($B25=1,0,MIN($B$13,MAX($B$12,ROUND(J64*K64*F64,0))))</f>
        <v>0</v>
      </c>
      <c r="E25">
        <f>IF($B25=1,0,1+($B$10*-4/12))</f>
        <v>0</v>
      </c>
      <c r="F25">
        <f>IF($B25=1,0,ROUND($B$8*E25*G64,2))</f>
        <v>0</v>
      </c>
      <c r="G25">
        <f>ROUND(D25*F25,2)</f>
        <v>0</v>
      </c>
      <c r="H25">
        <f>$B$11</f>
        <v>0.02</v>
      </c>
      <c r="I25">
        <f>ROUND(IF(D25&gt;0,G25*H25,0),2)</f>
        <v>0</v>
      </c>
    </row>
    <row r="26">
      <c r="A26" t="inlineStr">
        <is>
          <t>2026-12-01</t>
        </is>
      </c>
      <c r="B26">
        <v>1</v>
      </c>
      <c r="C26" t="inlineStr">
        <is>
          <t>phase_1_user_growth</t>
        </is>
      </c>
      <c r="D26">
        <f>IF($B26=1,0,MIN($B$13,MAX($B$12,ROUND(J65*K65*F65,0))))</f>
        <v>0</v>
      </c>
      <c r="E26">
        <f>IF($B26=1,0,1+($B$10*-3/12))</f>
        <v>0</v>
      </c>
      <c r="F26">
        <f>IF($B26=1,0,ROUND($B$8*E26*G65,2))</f>
        <v>0</v>
      </c>
      <c r="G26">
        <f>ROUND(D26*F26,2)</f>
        <v>0</v>
      </c>
      <c r="H26">
        <f>$B$11</f>
        <v>0.02</v>
      </c>
      <c r="I26">
        <f>ROUND(IF(D26&gt;0,G26*H26,0),2)</f>
        <v>0</v>
      </c>
    </row>
    <row r="27">
      <c r="A27" t="inlineStr">
        <is>
          <t>2027-01-01</t>
        </is>
      </c>
      <c r="B27">
        <v>1</v>
      </c>
      <c r="C27" t="inlineStr">
        <is>
          <t>phase_1_user_growth</t>
        </is>
      </c>
      <c r="D27">
        <f>IF($B27=1,0,MIN($B$13,MAX($B$12,ROUND(J66*K66*F66,0))))</f>
        <v>0</v>
      </c>
      <c r="E27">
        <f>IF($B27=1,0,1+($B$10*-2/12))</f>
        <v>0</v>
      </c>
      <c r="F27">
        <f>IF($B27=1,0,ROUND($B$8*E27*G66,2))</f>
        <v>0</v>
      </c>
      <c r="G27">
        <f>ROUND(D27*F27,2)</f>
        <v>0</v>
      </c>
      <c r="H27">
        <f>$B$11</f>
        <v>0.02</v>
      </c>
      <c r="I27">
        <f>ROUND(IF(D27&gt;0,G27*H27,0),2)</f>
        <v>0</v>
      </c>
    </row>
    <row r="28">
      <c r="A28" t="inlineStr">
        <is>
          <t>2027-02-01</t>
        </is>
      </c>
      <c r="B28">
        <v>1</v>
      </c>
      <c r="C28" t="inlineStr">
        <is>
          <t>phase_1_user_growth</t>
        </is>
      </c>
      <c r="D28">
        <f>IF($B28=1,0,MIN($B$13,MAX($B$12,ROUND(J67*K67*F67,0))))</f>
        <v>0</v>
      </c>
      <c r="E28">
        <f>IF($B28=1,0,1+($B$10*-1/12))</f>
        <v>0</v>
      </c>
      <c r="F28">
        <f>IF($B28=1,0,ROUND($B$8*E28*G67,2))</f>
        <v>0</v>
      </c>
      <c r="G28">
        <f>ROUND(D28*F28,2)</f>
        <v>0</v>
      </c>
      <c r="H28">
        <f>$B$11</f>
        <v>0.02</v>
      </c>
      <c r="I28">
        <f>ROUND(IF(D28&gt;0,G28*H28,0),2)</f>
        <v>0</v>
      </c>
    </row>
    <row r="29">
      <c r="A29" t="inlineStr">
        <is>
          <t>2027-03-01</t>
        </is>
      </c>
      <c r="B29">
        <v>2</v>
      </c>
      <c r="C29" t="inlineStr">
        <is>
          <t>phase_2_marketplace_activation</t>
        </is>
      </c>
      <c r="D29">
        <f>IF($B29=1,0,MIN($B$13,MAX($B$12,ROUND(J68*K68*F68,0))))</f>
        <v>10</v>
      </c>
      <c r="E29">
        <f>IF($B29=1,0,1+($B$10*0/12))</f>
        <v>1</v>
      </c>
      <c r="F29">
        <f>IF($B29=1,0,ROUND($B$8*E29*G68,2))</f>
        <v>4221.7</v>
      </c>
      <c r="G29">
        <f>ROUND(D29*F29,2)</f>
        <v>42216.95</v>
      </c>
      <c r="H29">
        <f>$B$11</f>
        <v>0.02</v>
      </c>
      <c r="I29">
        <f>ROUND(IF(D29&gt;0,G29*H29,0),2)</f>
        <v>844.34</v>
      </c>
    </row>
    <row r="30">
      <c r="A30" t="inlineStr">
        <is>
          <t>2027-04-01</t>
        </is>
      </c>
      <c r="B30">
        <v>2</v>
      </c>
      <c r="C30" t="inlineStr">
        <is>
          <t>phase_2_marketplace_activation</t>
        </is>
      </c>
      <c r="D30">
        <f>IF($B30=1,0,MIN($B$13,MAX($B$12,ROUND(J69*K69*F69,0))))</f>
        <v>27</v>
      </c>
      <c r="E30">
        <f>IF($B30=1,0,1+($B$10*1/12))</f>
        <v>1.0025</v>
      </c>
      <c r="F30">
        <f>IF($B30=1,0,ROUND($B$8*E30*G69,2))</f>
        <v>4149.08</v>
      </c>
      <c r="G30">
        <f>ROUND(D30*F30,2)</f>
        <v>112025.03</v>
      </c>
      <c r="H30">
        <f>$B$11</f>
        <v>0.02</v>
      </c>
      <c r="I30">
        <f>ROUND(IF(D30&gt;0,G30*H30,0),2)</f>
        <v>2240.5</v>
      </c>
    </row>
    <row r="31">
      <c r="A31" t="inlineStr">
        <is>
          <t>2027-05-01</t>
        </is>
      </c>
      <c r="B31">
        <v>2</v>
      </c>
      <c r="C31" t="inlineStr">
        <is>
          <t>phase_2_marketplace_activation</t>
        </is>
      </c>
      <c r="D31">
        <f>IF($B31=1,0,MIN($B$13,MAX($B$12,ROUND(J70*K70*F70,0))))</f>
        <v>45</v>
      </c>
      <c r="E31">
        <f>IF($B31=1,0,1+($B$10*2/12))</f>
        <v>1.005</v>
      </c>
      <c r="F31">
        <f>IF($B31=1,0,ROUND($B$8*E31*G70,2))</f>
        <v>4331.77</v>
      </c>
      <c r="G31">
        <f>ROUND(D31*F31,2)</f>
        <v>194929.79</v>
      </c>
      <c r="H31">
        <f>$B$11</f>
        <v>0.02</v>
      </c>
      <c r="I31">
        <f>ROUND(IF(D31&gt;0,G31*H31,0),2)</f>
        <v>3898.6</v>
      </c>
    </row>
    <row r="32">
      <c r="A32" t="inlineStr">
        <is>
          <t>2027-06-01</t>
        </is>
      </c>
      <c r="B32">
        <v>2</v>
      </c>
      <c r="C32" t="inlineStr">
        <is>
          <t>phase_2_marketplace_activation</t>
        </is>
      </c>
      <c r="D32">
        <f>IF($B32=1,0,MIN($B$13,MAX($B$12,ROUND(J71*K71*F71,0))))</f>
        <v>62</v>
      </c>
      <c r="E32">
        <f>IF($B32=1,0,1+($B$10*3/12))</f>
        <v>1.0075</v>
      </c>
      <c r="F32">
        <f>IF($B32=1,0,ROUND($B$8*E32*G71,2))</f>
        <v>4237.25</v>
      </c>
      <c r="G32">
        <f>ROUND(D32*F32,2)</f>
        <v>262709.47</v>
      </c>
      <c r="H32">
        <f>$B$11</f>
        <v>0.02</v>
      </c>
      <c r="I32">
        <f>ROUND(IF(D32&gt;0,G32*H32,0),2)</f>
        <v>5254.19</v>
      </c>
    </row>
    <row r="33">
      <c r="A33" t="inlineStr">
        <is>
          <t>2027-07-01</t>
        </is>
      </c>
      <c r="B33">
        <v>2</v>
      </c>
      <c r="C33" t="inlineStr">
        <is>
          <t>phase_2_marketplace_activation</t>
        </is>
      </c>
      <c r="D33">
        <f>IF($B33=1,0,MIN($B$13,MAX($B$12,ROUND(J72*K72*F72,0))))</f>
        <v>79</v>
      </c>
      <c r="E33">
        <f>IF($B33=1,0,1+($B$10*4/12))</f>
        <v>1.01</v>
      </c>
      <c r="F33">
        <f>IF($B33=1,0,ROUND($B$8*E33*G72,2))</f>
        <v>4147.43</v>
      </c>
      <c r="G33">
        <f>ROUND(D33*F33,2)</f>
        <v>327646.99</v>
      </c>
      <c r="H33">
        <f>$B$11</f>
        <v>0.02</v>
      </c>
      <c r="I33">
        <f>ROUND(IF(D33&gt;0,G33*H33,0),2)</f>
        <v>6552.94</v>
      </c>
    </row>
    <row r="34">
      <c r="A34" t="inlineStr">
        <is>
          <t>2027-08-01</t>
        </is>
      </c>
      <c r="B34">
        <v>2</v>
      </c>
      <c r="C34" t="inlineStr">
        <is>
          <t>phase_2_marketplace_activation</t>
        </is>
      </c>
      <c r="D34">
        <f>IF($B34=1,0,MIN($B$13,MAX($B$12,ROUND(J73*K73*F73,0))))</f>
        <v>95</v>
      </c>
      <c r="E34">
        <f>IF($B34=1,0,1+($B$10*5/12))</f>
        <v>1.0125</v>
      </c>
      <c r="F34">
        <f>IF($B34=1,0,ROUND($B$8*E34*G73,2))</f>
        <v>4302.83</v>
      </c>
      <c r="G34">
        <f>ROUND(D34*F34,2)</f>
        <v>408768.46</v>
      </c>
      <c r="H34">
        <f>$B$11</f>
        <v>0.02</v>
      </c>
      <c r="I34">
        <f>ROUND(IF(D34&gt;0,G34*H34,0),2)</f>
        <v>8175.37</v>
      </c>
    </row>
    <row r="35">
      <c r="A35" t="inlineStr">
        <is>
          <t>2027-09-01</t>
        </is>
      </c>
      <c r="B35">
        <v>2</v>
      </c>
      <c r="C35" t="inlineStr">
        <is>
          <t>phase_2_marketplace_activation</t>
        </is>
      </c>
      <c r="D35">
        <f>IF($B35=1,0,MIN($B$13,MAX($B$12,ROUND(J74*K74*F74,0))))</f>
        <v>114</v>
      </c>
      <c r="E35">
        <f>IF($B35=1,0,1+($B$10*6/12))</f>
        <v>1.015</v>
      </c>
      <c r="F35">
        <f>IF($B35=1,0,ROUND($B$8*E35*G74,2))</f>
        <v>4258.74</v>
      </c>
      <c r="G35">
        <f>ROUND(D35*F35,2)</f>
        <v>485496.41</v>
      </c>
      <c r="H35">
        <f>$B$11</f>
        <v>0.02</v>
      </c>
      <c r="I35">
        <f>ROUND(IF(D35&gt;0,G35*H35,0),2)</f>
        <v>9709.93</v>
      </c>
    </row>
    <row r="36">
      <c r="A36" t="inlineStr">
        <is>
          <t>2027-10-01</t>
        </is>
      </c>
      <c r="B36">
        <v>2</v>
      </c>
      <c r="C36" t="inlineStr">
        <is>
          <t>phase_2_marketplace_activation</t>
        </is>
      </c>
      <c r="D36">
        <f>IF($B36=1,0,MIN($B$13,MAX($B$12,ROUND(J75*K75*F75,0))))</f>
        <v>131</v>
      </c>
      <c r="E36">
        <f>IF($B36=1,0,1+($B$10*7/12))</f>
        <v>1.0175</v>
      </c>
      <c r="F36">
        <f>IF($B36=1,0,ROUND($B$8*E36*G75,2))</f>
        <v>4305.91</v>
      </c>
      <c r="G36">
        <f>ROUND(D36*F36,2)</f>
        <v>564073.76</v>
      </c>
      <c r="H36">
        <f>$B$11</f>
        <v>0.02</v>
      </c>
      <c r="I36">
        <f>ROUND(IF(D36&gt;0,G36*H36,0),2)</f>
        <v>11281.48</v>
      </c>
    </row>
    <row r="37">
      <c r="A37" t="inlineStr">
        <is>
          <t>2027-11-01</t>
        </is>
      </c>
      <c r="B37">
        <v>2</v>
      </c>
      <c r="C37" t="inlineStr">
        <is>
          <t>phase_2_marketplace_activation</t>
        </is>
      </c>
      <c r="D37">
        <f>IF($B37=1,0,MIN($B$13,MAX($B$12,ROUND(J76*K76*F76,0))))</f>
        <v>153</v>
      </c>
      <c r="E37">
        <f>IF($B37=1,0,1+($B$10*8/12))</f>
        <v>1.02</v>
      </c>
      <c r="F37">
        <f>IF($B37=1,0,ROUND($B$8*E37*G76,2))</f>
        <v>4214.09</v>
      </c>
      <c r="G37">
        <f>ROUND(D37*F37,2)</f>
        <v>644755.8</v>
      </c>
      <c r="H37">
        <f>$B$11</f>
        <v>0.02</v>
      </c>
      <c r="I37">
        <f>ROUND(IF(D37&gt;0,G37*H37,0),2)</f>
        <v>12895.12</v>
      </c>
    </row>
    <row r="38">
      <c r="A38" t="inlineStr">
        <is>
          <t>2027-12-01</t>
        </is>
      </c>
      <c r="B38">
        <v>2</v>
      </c>
      <c r="C38" t="inlineStr">
        <is>
          <t>phase_2_marketplace_activation</t>
        </is>
      </c>
      <c r="D38">
        <f>IF($B38=1,0,MIN($B$13,MAX($B$12,ROUND(J77*K77*F77,0))))</f>
        <v>196</v>
      </c>
      <c r="E38">
        <f>IF($B38=1,0,1+($B$10*9/12))</f>
        <v>1.0225</v>
      </c>
      <c r="F38">
        <f>IF($B38=1,0,ROUND($B$8*E38*G77,2))</f>
        <v>4194.16</v>
      </c>
      <c r="G38">
        <f>ROUND(D38*F38,2)</f>
        <v>822055.85</v>
      </c>
      <c r="H38">
        <f>$B$11</f>
        <v>0.02</v>
      </c>
      <c r="I38">
        <f>ROUND(IF(D38&gt;0,G38*H38,0),2)</f>
        <v>16441.12</v>
      </c>
    </row>
    <row r="39">
      <c r="A39" t="inlineStr">
        <is>
          <t>2028-01-01</t>
        </is>
      </c>
      <c r="B39">
        <v>2</v>
      </c>
      <c r="C39" t="inlineStr">
        <is>
          <t>phase_2_marketplace_activation</t>
        </is>
      </c>
      <c r="D39">
        <f>IF($B39=1,0,MIN($B$13,MAX($B$12,ROUND(J78*K78*F78,0))))</f>
        <v>169</v>
      </c>
      <c r="E39">
        <f>IF($B39=1,0,1+($B$10*10/12))</f>
        <v>1.025</v>
      </c>
      <c r="F39">
        <f>IF($B39=1,0,ROUND($B$8*E39*G78,2))</f>
        <v>4273.02</v>
      </c>
      <c r="G39">
        <f>ROUND(D39*F39,2)</f>
        <v>722139.75</v>
      </c>
      <c r="H39">
        <f>$B$11</f>
        <v>0.02</v>
      </c>
      <c r="I39">
        <f>ROUND(IF(D39&gt;0,G39*H39,0),2)</f>
        <v>14442.79</v>
      </c>
    </row>
    <row r="40">
      <c r="A40" t="inlineStr">
        <is>
          <t>2028-02-01</t>
        </is>
      </c>
      <c r="B40">
        <v>2</v>
      </c>
      <c r="C40" t="inlineStr">
        <is>
          <t>phase_2_marketplace_activation</t>
        </is>
      </c>
      <c r="D40">
        <f>IF($B40=1,0,MIN($B$13,MAX($B$12,ROUND(J79*K79*F79,0))))</f>
        <v>198</v>
      </c>
      <c r="E40">
        <f>IF($B40=1,0,1+($B$10*11/12))</f>
        <v>1.0275</v>
      </c>
      <c r="F40">
        <f>IF($B40=1,0,ROUND($B$8*E40*G79,2))</f>
        <v>4395.79</v>
      </c>
      <c r="G40">
        <f>ROUND(D40*F40,2)</f>
        <v>870366.45</v>
      </c>
      <c r="H40">
        <f>$B$11</f>
        <v>0.02</v>
      </c>
      <c r="I40">
        <f>ROUND(IF(D40&gt;0,G40*H40,0),2)</f>
        <v>17407.33</v>
      </c>
    </row>
    <row r="41">
      <c r="A41" t="inlineStr">
        <is>
          <t>2028-03-01</t>
        </is>
      </c>
      <c r="B41">
        <v>3</v>
      </c>
      <c r="C41" t="inlineStr">
        <is>
          <t>phase_3_projection</t>
        </is>
      </c>
      <c r="D41">
        <f>IF($B41=1,0,MIN($B$13,MAX($B$12,ROUND(J80*K80*F80,0))))</f>
        <v>216</v>
      </c>
      <c r="E41">
        <f>IF($B41=1,0,1+($B$10*12/12))</f>
        <v>1.03</v>
      </c>
      <c r="F41">
        <f>IF($B41=1,0,ROUND($B$8*E41*G80,2))</f>
        <v>4247.37</v>
      </c>
      <c r="G41">
        <f>ROUND(D41*F41,2)</f>
        <v>917430.92</v>
      </c>
      <c r="H41">
        <f>$B$11</f>
        <v>0.02</v>
      </c>
      <c r="I41">
        <f>ROUND(IF(D41&gt;0,G41*H41,0),2)</f>
        <v>18348.62</v>
      </c>
    </row>
    <row r="42">
      <c r="A42" t="inlineStr">
        <is>
          <t>2028-04-01</t>
        </is>
      </c>
      <c r="B42">
        <v>3</v>
      </c>
      <c r="C42" t="inlineStr">
        <is>
          <t>phase_3_projection</t>
        </is>
      </c>
      <c r="D42">
        <f>IF($B42=1,0,MIN($B$13,MAX($B$12,ROUND(J81*K81*F81,0))))</f>
        <v>234</v>
      </c>
      <c r="E42">
        <f>IF($B42=1,0,1+($B$10*13/12))</f>
        <v>1.0325</v>
      </c>
      <c r="F42">
        <f>IF($B42=1,0,ROUND($B$8*E42*G81,2))</f>
        <v>4274.19</v>
      </c>
      <c r="G42">
        <f>ROUND(D42*F42,2)</f>
        <v>1000159.46</v>
      </c>
      <c r="H42">
        <f>$B$11</f>
        <v>0.02</v>
      </c>
      <c r="I42">
        <f>ROUND(IF(D42&gt;0,G42*H42,0),2)</f>
        <v>20003.19</v>
      </c>
    </row>
    <row r="43">
      <c r="A43" t="inlineStr">
        <is>
          <t>2028-05-01</t>
        </is>
      </c>
      <c r="B43">
        <v>3</v>
      </c>
      <c r="C43" t="inlineStr">
        <is>
          <t>phase_3_projection</t>
        </is>
      </c>
      <c r="D43">
        <f>IF($B43=1,0,MIN($B$13,MAX($B$12,ROUND(J82*K82*F82,0))))</f>
        <v>254</v>
      </c>
      <c r="E43">
        <f>IF($B43=1,0,1+($B$10*14/12))</f>
        <v>1.035</v>
      </c>
      <c r="F43">
        <f>IF($B43=1,0,ROUND($B$8*E43*G82,2))</f>
        <v>4338.59</v>
      </c>
      <c r="G43">
        <f>ROUND(D43*F43,2)</f>
        <v>1102002.12</v>
      </c>
      <c r="H43">
        <f>$B$11</f>
        <v>0.02</v>
      </c>
      <c r="I43">
        <f>ROUND(IF(D43&gt;0,G43*H43,0),2)</f>
        <v>22040.04</v>
      </c>
    </row>
    <row r="44">
      <c r="A44" t="inlineStr">
        <is>
          <t>2028-06-01</t>
        </is>
      </c>
      <c r="B44">
        <v>3</v>
      </c>
      <c r="C44" t="inlineStr">
        <is>
          <t>phase_3_projection</t>
        </is>
      </c>
      <c r="D44">
        <f>IF($B44=1,0,MIN($B$13,MAX($B$12,ROUND(J83*K83*F83,0))))</f>
        <v>267</v>
      </c>
      <c r="E44">
        <f>IF($B44=1,0,1+($B$10*15/12))</f>
        <v>1.0375</v>
      </c>
      <c r="F44">
        <f>IF($B44=1,0,ROUND($B$8*E44*G83,2))</f>
        <v>4434.18</v>
      </c>
      <c r="G44">
        <f>ROUND(D44*F44,2)</f>
        <v>1183926.64</v>
      </c>
      <c r="H44">
        <f>$B$11</f>
        <v>0.02</v>
      </c>
      <c r="I44">
        <f>ROUND(IF(D44&gt;0,G44*H44,0),2)</f>
        <v>23678.53</v>
      </c>
    </row>
    <row r="45">
      <c r="A45" t="inlineStr">
        <is>
          <t>2028-07-01</t>
        </is>
      </c>
      <c r="B45">
        <v>3</v>
      </c>
      <c r="C45" t="inlineStr">
        <is>
          <t>phase_3_projection</t>
        </is>
      </c>
      <c r="D45">
        <f>IF($B45=1,0,MIN($B$13,MAX($B$12,ROUND(J84*K84*F84,0))))</f>
        <v>287</v>
      </c>
      <c r="E45">
        <f>IF($B45=1,0,1+($B$10*16/12))</f>
        <v>1.04</v>
      </c>
      <c r="F45">
        <f>IF($B45=1,0,ROUND($B$8*E45*G84,2))</f>
        <v>4408.92</v>
      </c>
      <c r="G45">
        <f>ROUND(D45*F45,2)</f>
        <v>1265360.05</v>
      </c>
      <c r="H45">
        <f>$B$11</f>
        <v>0.02</v>
      </c>
      <c r="I45">
        <f>ROUND(IF(D45&gt;0,G45*H45,0),2)</f>
        <v>25307.2</v>
      </c>
    </row>
    <row r="46">
      <c r="A46" t="inlineStr">
        <is>
          <t>2028-08-01</t>
        </is>
      </c>
      <c r="B46">
        <v>3</v>
      </c>
      <c r="C46" t="inlineStr">
        <is>
          <t>phase_3_projection</t>
        </is>
      </c>
      <c r="D46">
        <f>IF($B46=1,0,MIN($B$13,MAX($B$12,ROUND(J85*K85*F85,0))))</f>
        <v>306</v>
      </c>
      <c r="E46">
        <f>IF($B46=1,0,1+($B$10*17/12))</f>
        <v>1.0425</v>
      </c>
      <c r="F46">
        <f>IF($B46=1,0,ROUND($B$8*E46*G85,2))</f>
        <v>4429.4</v>
      </c>
      <c r="G46">
        <f>ROUND(D46*F46,2)</f>
        <v>1355397.79</v>
      </c>
      <c r="H46">
        <f>$B$11</f>
        <v>0.02</v>
      </c>
      <c r="I46">
        <f>ROUND(IF(D46&gt;0,G46*H46,0),2)</f>
        <v>27107.96</v>
      </c>
    </row>
    <row r="47">
      <c r="A47" t="inlineStr">
        <is>
          <t>2028-09-01</t>
        </is>
      </c>
      <c r="B47">
        <v>3</v>
      </c>
      <c r="C47" t="inlineStr">
        <is>
          <t>phase_3_projection</t>
        </is>
      </c>
      <c r="D47">
        <f>IF($B47=1,0,MIN($B$13,MAX($B$12,ROUND(J86*K86*F86,0))))</f>
        <v>313</v>
      </c>
      <c r="E47">
        <f>IF($B47=1,0,1+($B$10*18/12))</f>
        <v>1.045</v>
      </c>
      <c r="F47">
        <f>IF($B47=1,0,ROUND($B$8*E47*G86,2))</f>
        <v>4347.88</v>
      </c>
      <c r="G47">
        <f>ROUND(D47*F47,2)</f>
        <v>1360886.16</v>
      </c>
      <c r="H47">
        <f>$B$11</f>
        <v>0.02</v>
      </c>
      <c r="I47">
        <f>ROUND(IF(D47&gt;0,G47*H47,0),2)</f>
        <v>27217.72</v>
      </c>
    </row>
    <row r="48">
      <c r="A48" t="inlineStr">
        <is>
          <t>2028-10-01</t>
        </is>
      </c>
      <c r="B48">
        <v>3</v>
      </c>
      <c r="C48" t="inlineStr">
        <is>
          <t>phase_3_projection</t>
        </is>
      </c>
      <c r="D48">
        <f>IF($B48=1,0,MIN($B$13,MAX($B$12,ROUND(J87*K87*F87,0))))</f>
        <v>332</v>
      </c>
      <c r="E48">
        <f>IF($B48=1,0,1+($B$10*19/12))</f>
        <v>1.0475</v>
      </c>
      <c r="F48">
        <f>IF($B48=1,0,ROUND($B$8*E48*G87,2))</f>
        <v>4452.26</v>
      </c>
      <c r="G48">
        <f>ROUND(D48*F48,2)</f>
        <v>1478149.63</v>
      </c>
      <c r="H48">
        <f>$B$11</f>
        <v>0.02</v>
      </c>
      <c r="I48">
        <f>ROUND(IF(D48&gt;0,G48*H48,0),2)</f>
        <v>29562.99</v>
      </c>
    </row>
    <row r="49">
      <c r="A49" t="inlineStr">
        <is>
          <t>2028-11-01</t>
        </is>
      </c>
      <c r="B49">
        <v>3</v>
      </c>
      <c r="C49" t="inlineStr">
        <is>
          <t>phase_3_projection</t>
        </is>
      </c>
      <c r="D49">
        <f>IF($B49=1,0,MIN($B$13,MAX($B$12,ROUND(J88*K88*F88,0))))</f>
        <v>358</v>
      </c>
      <c r="E49">
        <f>IF($B49=1,0,1+($B$10*20/12))</f>
        <v>1.05</v>
      </c>
      <c r="F49">
        <f>IF($B49=1,0,ROUND($B$8*E49*G88,2))</f>
        <v>4605.07</v>
      </c>
      <c r="G49">
        <f>ROUND(D49*F49,2)</f>
        <v>1648614.08</v>
      </c>
      <c r="H49">
        <f>$B$11</f>
        <v>0.02</v>
      </c>
      <c r="I49">
        <f>ROUND(IF(D49&gt;0,G49*H49,0),2)</f>
        <v>32972.28</v>
      </c>
    </row>
    <row r="50">
      <c r="A50" t="inlineStr">
        <is>
          <t>2028-12-01</t>
        </is>
      </c>
      <c r="B50">
        <v>3</v>
      </c>
      <c r="C50" t="inlineStr">
        <is>
          <t>phase_3_projection</t>
        </is>
      </c>
      <c r="D50">
        <f>IF($B50=1,0,MIN($B$13,MAX($B$12,ROUND(J89*K89*F89,0))))</f>
        <v>400</v>
      </c>
      <c r="E50">
        <f>IF($B50=1,0,1+($B$10*21/12))</f>
        <v>1.0525</v>
      </c>
      <c r="F50">
        <f>IF($B50=1,0,ROUND($B$8*E50*G89,2))</f>
        <v>4349.48</v>
      </c>
      <c r="G50">
        <f>ROUND(D50*F50,2)</f>
        <v>1739790.46</v>
      </c>
      <c r="H50">
        <f>$B$11</f>
        <v>0.02</v>
      </c>
      <c r="I50">
        <f>ROUND(IF(D50&gt;0,G50*H50,0),2)</f>
        <v>34795.81</v>
      </c>
    </row>
    <row r="51">
      <c r="A51" t="inlineStr">
        <is>
          <t>2029-01-01</t>
        </is>
      </c>
      <c r="B51">
        <v>3</v>
      </c>
      <c r="C51" t="inlineStr">
        <is>
          <t>phase_3_projection</t>
        </is>
      </c>
      <c r="D51">
        <f>IF($B51=1,0,MIN($B$13,MAX($B$12,ROUND(J90*K90*F90,0))))</f>
        <v>386</v>
      </c>
      <c r="E51">
        <f>IF($B51=1,0,1+($B$10*22/12))</f>
        <v>1.055</v>
      </c>
      <c r="F51">
        <f>IF($B51=1,0,ROUND($B$8*E51*G90,2))</f>
        <v>4555.9</v>
      </c>
      <c r="G51">
        <f>ROUND(D51*F51,2)</f>
        <v>1758577.85</v>
      </c>
      <c r="H51">
        <f>$B$11</f>
        <v>0.02</v>
      </c>
      <c r="I51">
        <f>ROUND(IF(D51&gt;0,G51*H51,0),2)</f>
        <v>35171.56</v>
      </c>
    </row>
    <row r="52">
      <c r="A52" t="inlineStr">
        <is>
          <t>2029-02-01</t>
        </is>
      </c>
      <c r="B52">
        <v>3</v>
      </c>
      <c r="C52" t="inlineStr">
        <is>
          <t>phase_3_projection</t>
        </is>
      </c>
      <c r="D52">
        <f>IF($B52=1,0,MIN($B$13,MAX($B$12,ROUND(J91*K91*F91,0))))</f>
        <v>400</v>
      </c>
      <c r="E52">
        <f>IF($B52=1,0,1+($B$10*23/12))</f>
        <v>1.0575</v>
      </c>
      <c r="F52">
        <f>IF($B52=1,0,ROUND($B$8*E52*G91,2))</f>
        <v>4521</v>
      </c>
      <c r="G52">
        <f>ROUND(D52*F52,2)</f>
        <v>1808400.05</v>
      </c>
      <c r="H52">
        <f>$B$11</f>
        <v>0.02</v>
      </c>
      <c r="I52">
        <f>ROUND(IF(D52&gt;0,G52*H52,0),2)</f>
        <v>36168</v>
      </c>
    </row>
    <row r="53">
      <c r="A53" t="inlineStr">
        <is>
          <t/>
        </is>
      </c>
      <c r="B53" t="inlineStr">
        <is>
          <t/>
        </is>
      </c>
      <c r="C53" t="inlineStr">
        <is>
          <t/>
        </is>
      </c>
      <c r="D53" t="inlineStr">
        <is>
          <t/>
        </is>
      </c>
      <c r="E53" t="inlineStr">
        <is>
          <t/>
        </is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</row>
    <row r="54">
      <c r="A54" t="inlineStr">
        <is>
          <t>[Implementation Factors]</t>
        </is>
      </c>
      <c r="B54" t="inlineStr">
        <is>
          <t/>
        </is>
      </c>
      <c r="C54" t="inlineStr">
        <is>
          <t>Seasonality and noise factors used by the finance-facing table above.</t>
        </is>
      </c>
    </row>
    <row r="55">
      <c r="A55" t="inlineStr">
        <is>
          <t>month</t>
        </is>
      </c>
      <c r="B55" t="inlineStr">
        <is>
          <t>year_index</t>
        </is>
      </c>
      <c r="C55" t="inlineStr">
        <is>
          <t>phase</t>
        </is>
      </c>
      <c r="D55" t="inlineStr">
        <is>
          <t>seasonality_factor</t>
        </is>
      </c>
      <c r="E55" t="inlineStr">
        <is>
          <t>noise_market_year1_jitter</t>
        </is>
      </c>
      <c r="F55" t="inlineStr">
        <is>
          <t>noise_market_txn</t>
        </is>
      </c>
      <c r="G55" t="inlineStr">
        <is>
          <t>noise_market_avg_sell_price</t>
        </is>
      </c>
      <c r="H55" t="inlineStr">
        <is>
          <t>cagr_multiplier</t>
        </is>
      </c>
      <c r="I55" t="inlineStr">
        <is>
          <t>noise_market_combined</t>
        </is>
      </c>
      <c r="J55" t="inlineStr">
        <is>
          <t>txn_trend_base</t>
        </is>
      </c>
      <c r="K55" t="inlineStr">
        <is>
          <t>txn_seasonality_multiplier</t>
        </is>
      </c>
    </row>
    <row r="56">
      <c r="A56" t="inlineStr">
        <is>
          <t>2026-03-01</t>
        </is>
      </c>
      <c r="B56">
        <v>1</v>
      </c>
      <c r="C56" t="inlineStr">
        <is>
          <t>phase_1_user_growth</t>
        </is>
      </c>
      <c r="D56">
        <v>1</v>
      </c>
      <c r="E56">
        <f>MAX(0.7,1+_xlfn.NORM.INV(RAND(),0,$B$14*0.5))</f>
        <v>0.996398</v>
      </c>
      <c r="F56">
        <f>MAX(0.85,1+_xlfn.NORM.INV(RAND(),0,$B$14*0.4))</f>
        <v>1</v>
      </c>
      <c r="G56">
        <f>MAX(0.75,1+_xlfn.NORM.INV(RAND(),0,$B$14*0.35))</f>
        <v>1</v>
      </c>
      <c r="H56">
        <f>IF($B56=1,1,POWER(1+$B$9,-12/12))</f>
        <v>1</v>
      </c>
      <c r="I56">
        <f>IF($B56=1,E56,F56*G56)</f>
        <v>0.996398</v>
      </c>
      <c r="J56">
        <f>IF($B56=1,0,$B$12+($B$13-$B$12)*(-12/23))</f>
        <v>0</v>
      </c>
      <c r="K56">
        <f>IF($B56=1,0,0.85+0.15*D56)</f>
        <v>0</v>
      </c>
    </row>
    <row r="57">
      <c r="A57" t="inlineStr">
        <is>
          <t>2026-04-01</t>
        </is>
      </c>
      <c r="B57">
        <v>1</v>
      </c>
      <c r="C57" t="inlineStr">
        <is>
          <t>phase_1_user_growth</t>
        </is>
      </c>
      <c r="D57">
        <v>0.989947230456269</v>
      </c>
      <c r="E57">
        <f>MAX(0.7,1+_xlfn.NORM.INV(RAND(),0,$B$14*0.5))</f>
        <v>0.995677</v>
      </c>
      <c r="F57">
        <f>MAX(0.85,1+_xlfn.NORM.INV(RAND(),0,$B$14*0.4))</f>
        <v>1</v>
      </c>
      <c r="G57">
        <f>MAX(0.75,1+_xlfn.NORM.INV(RAND(),0,$B$14*0.35))</f>
        <v>1</v>
      </c>
      <c r="H57">
        <f>IF($B57=1,1,POWER(1+$B$9,-11/12))</f>
        <v>1</v>
      </c>
      <c r="I57">
        <f>IF($B57=1,E57,F57*G57)</f>
        <v>0.995677</v>
      </c>
      <c r="J57">
        <f>IF($B57=1,0,$B$12+($B$13-$B$12)*(-11/23))</f>
        <v>0</v>
      </c>
      <c r="K57">
        <f>IF($B57=1,0,0.85+0.15*D57)</f>
        <v>0</v>
      </c>
    </row>
    <row r="58">
      <c r="A58" t="inlineStr">
        <is>
          <t>2026-05-01</t>
        </is>
      </c>
      <c r="B58">
        <v>1</v>
      </c>
      <c r="C58" t="inlineStr">
        <is>
          <t>phase_1_user_growth</t>
        </is>
      </c>
      <c r="D58">
        <v>1.18893941969815</v>
      </c>
      <c r="E58">
        <f>MAX(0.7,1+_xlfn.NORM.INV(RAND(),0,$B$14*0.5))</f>
        <v>0.997217</v>
      </c>
      <c r="F58">
        <f>MAX(0.85,1+_xlfn.NORM.INV(RAND(),0,$B$14*0.4))</f>
        <v>1</v>
      </c>
      <c r="G58">
        <f>MAX(0.75,1+_xlfn.NORM.INV(RAND(),0,$B$14*0.35))</f>
        <v>1</v>
      </c>
      <c r="H58">
        <f>IF($B58=1,1,POWER(1+$B$9,-10/12))</f>
        <v>1</v>
      </c>
      <c r="I58">
        <f>IF($B58=1,E58,F58*G58)</f>
        <v>0.997217</v>
      </c>
      <c r="J58">
        <f>IF($B58=1,0,$B$12+($B$13-$B$12)*(-10/23))</f>
        <v>0</v>
      </c>
      <c r="K58">
        <f>IF($B58=1,0,0.85+0.15*D58)</f>
        <v>0</v>
      </c>
    </row>
    <row r="59">
      <c r="A59" t="inlineStr">
        <is>
          <t>2026-06-01</t>
        </is>
      </c>
      <c r="B59">
        <v>1</v>
      </c>
      <c r="C59" t="inlineStr">
        <is>
          <t>phase_1_user_growth</t>
        </is>
      </c>
      <c r="D59">
        <v>1.06357973164495</v>
      </c>
      <c r="E59">
        <f>MAX(0.7,1+_xlfn.NORM.INV(RAND(),0,$B$14*0.5))</f>
        <v>1.01755</v>
      </c>
      <c r="F59">
        <f>MAX(0.85,1+_xlfn.NORM.INV(RAND(),0,$B$14*0.4))</f>
        <v>1</v>
      </c>
      <c r="G59">
        <f>MAX(0.75,1+_xlfn.NORM.INV(RAND(),0,$B$14*0.35))</f>
        <v>1</v>
      </c>
      <c r="H59">
        <f>IF($B59=1,1,POWER(1+$B$9,-9/12))</f>
        <v>1</v>
      </c>
      <c r="I59">
        <f>IF($B59=1,E59,F59*G59)</f>
        <v>1.01755</v>
      </c>
      <c r="J59">
        <f>IF($B59=1,0,$B$12+($B$13-$B$12)*(-9/23))</f>
        <v>0</v>
      </c>
      <c r="K59">
        <f>IF($B59=1,0,0.85+0.15*D59)</f>
        <v>0</v>
      </c>
    </row>
    <row r="60">
      <c r="A60" t="inlineStr">
        <is>
          <t>2026-07-01</t>
        </is>
      </c>
      <c r="B60">
        <v>1</v>
      </c>
      <c r="C60" t="inlineStr">
        <is>
          <t>phase_1_user_growth</t>
        </is>
      </c>
      <c r="D60">
        <v>1.04666813491929</v>
      </c>
      <c r="E60">
        <f>MAX(0.7,1+_xlfn.NORM.INV(RAND(),0,$B$14*0.5))</f>
        <v>0.99681</v>
      </c>
      <c r="F60">
        <f>MAX(0.85,1+_xlfn.NORM.INV(RAND(),0,$B$14*0.4))</f>
        <v>1</v>
      </c>
      <c r="G60">
        <f>MAX(0.75,1+_xlfn.NORM.INV(RAND(),0,$B$14*0.35))</f>
        <v>1</v>
      </c>
      <c r="H60">
        <f>IF($B60=1,1,POWER(1+$B$9,-8/12))</f>
        <v>1</v>
      </c>
      <c r="I60">
        <f>IF($B60=1,E60,F60*G60)</f>
        <v>0.99681</v>
      </c>
      <c r="J60">
        <f>IF($B60=1,0,$B$12+($B$13-$B$12)*(-8/23))</f>
        <v>0</v>
      </c>
      <c r="K60">
        <f>IF($B60=1,0,0.85+0.15*D60)</f>
        <v>0</v>
      </c>
    </row>
    <row r="61">
      <c r="A61" t="inlineStr">
        <is>
          <t>2026-08-01</t>
        </is>
      </c>
      <c r="B61">
        <v>1</v>
      </c>
      <c r="C61" t="inlineStr">
        <is>
          <t>phase_1_user_growth</t>
        </is>
      </c>
      <c r="D61">
        <v>1.08164077629362</v>
      </c>
      <c r="E61">
        <f>MAX(0.7,1+_xlfn.NORM.INV(RAND(),0,$B$14*0.5))</f>
        <v>0.962566</v>
      </c>
      <c r="F61">
        <f>MAX(0.85,1+_xlfn.NORM.INV(RAND(),0,$B$14*0.4))</f>
        <v>1</v>
      </c>
      <c r="G61">
        <f>MAX(0.75,1+_xlfn.NORM.INV(RAND(),0,$B$14*0.35))</f>
        <v>1</v>
      </c>
      <c r="H61">
        <f>IF($B61=1,1,POWER(1+$B$9,-7/12))</f>
        <v>1</v>
      </c>
      <c r="I61">
        <f>IF($B61=1,E61,F61*G61)</f>
        <v>0.962566</v>
      </c>
      <c r="J61">
        <f>IF($B61=1,0,$B$12+($B$13-$B$12)*(-7/23))</f>
        <v>0</v>
      </c>
      <c r="K61">
        <f>IF($B61=1,0,0.85+0.15*D61)</f>
        <v>0</v>
      </c>
    </row>
    <row r="62">
      <c r="A62" t="inlineStr">
        <is>
          <t>2026-09-01</t>
        </is>
      </c>
      <c r="B62">
        <v>1</v>
      </c>
      <c r="C62" t="inlineStr">
        <is>
          <t>phase_1_user_growth</t>
        </is>
      </c>
      <c r="D62">
        <v>1.03979563529009</v>
      </c>
      <c r="E62">
        <f>MAX(0.7,1+_xlfn.NORM.INV(RAND(),0,$B$14*0.5))</f>
        <v>1.008308</v>
      </c>
      <c r="F62">
        <f>MAX(0.85,1+_xlfn.NORM.INV(RAND(),0,$B$14*0.4))</f>
        <v>1</v>
      </c>
      <c r="G62">
        <f>MAX(0.75,1+_xlfn.NORM.INV(RAND(),0,$B$14*0.35))</f>
        <v>1</v>
      </c>
      <c r="H62">
        <f>IF($B62=1,1,POWER(1+$B$9,-6/12))</f>
        <v>1</v>
      </c>
      <c r="I62">
        <f>IF($B62=1,E62,F62*G62)</f>
        <v>1.008308</v>
      </c>
      <c r="J62">
        <f>IF($B62=1,0,$B$12+($B$13-$B$12)*(-6/23))</f>
        <v>0</v>
      </c>
      <c r="K62">
        <f>IF($B62=1,0,0.85+0.15*D62)</f>
        <v>0</v>
      </c>
    </row>
    <row r="63">
      <c r="A63" t="inlineStr">
        <is>
          <t>2026-10-01</t>
        </is>
      </c>
      <c r="B63">
        <v>1</v>
      </c>
      <c r="C63" t="inlineStr">
        <is>
          <t>phase_1_user_growth</t>
        </is>
      </c>
      <c r="D63">
        <v>1.06919417834941</v>
      </c>
      <c r="E63">
        <f>MAX(0.7,1+_xlfn.NORM.INV(RAND(),0,$B$14*0.5))</f>
        <v>0.993317</v>
      </c>
      <c r="F63">
        <f>MAX(0.85,1+_xlfn.NORM.INV(RAND(),0,$B$14*0.4))</f>
        <v>1</v>
      </c>
      <c r="G63">
        <f>MAX(0.75,1+_xlfn.NORM.INV(RAND(),0,$B$14*0.35))</f>
        <v>1</v>
      </c>
      <c r="H63">
        <f>IF($B63=1,1,POWER(1+$B$9,-5/12))</f>
        <v>1</v>
      </c>
      <c r="I63">
        <f>IF($B63=1,E63,F63*G63)</f>
        <v>0.993317</v>
      </c>
      <c r="J63">
        <f>IF($B63=1,0,$B$12+($B$13-$B$12)*(-5/23))</f>
        <v>0</v>
      </c>
      <c r="K63">
        <f>IF($B63=1,0,0.85+0.15*D63)</f>
        <v>0</v>
      </c>
    </row>
    <row r="64">
      <c r="A64" t="inlineStr">
        <is>
          <t>2026-11-01</t>
        </is>
      </c>
      <c r="B64">
        <v>1</v>
      </c>
      <c r="C64" t="inlineStr">
        <is>
          <t>phase_1_user_growth</t>
        </is>
      </c>
      <c r="D64">
        <v>1.21332398881221</v>
      </c>
      <c r="E64">
        <f>MAX(0.7,1+_xlfn.NORM.INV(RAND(),0,$B$14*0.5))</f>
        <v>0.994576</v>
      </c>
      <c r="F64">
        <f>MAX(0.85,1+_xlfn.NORM.INV(RAND(),0,$B$14*0.4))</f>
        <v>1</v>
      </c>
      <c r="G64">
        <f>MAX(0.75,1+_xlfn.NORM.INV(RAND(),0,$B$14*0.35))</f>
        <v>1</v>
      </c>
      <c r="H64">
        <f>IF($B64=1,1,POWER(1+$B$9,-4/12))</f>
        <v>1</v>
      </c>
      <c r="I64">
        <f>IF($B64=1,E64,F64*G64)</f>
        <v>0.994576</v>
      </c>
      <c r="J64">
        <f>IF($B64=1,0,$B$12+($B$13-$B$12)*(-4/23))</f>
        <v>0</v>
      </c>
      <c r="K64">
        <f>IF($B64=1,0,0.85+0.15*D64)</f>
        <v>0</v>
      </c>
    </row>
    <row r="65">
      <c r="A65" t="inlineStr">
        <is>
          <t>2026-12-01</t>
        </is>
      </c>
      <c r="B65">
        <v>1</v>
      </c>
      <c r="C65" t="inlineStr">
        <is>
          <t>phase_1_user_growth</t>
        </is>
      </c>
      <c r="D65">
        <v>2.27627423629054</v>
      </c>
      <c r="E65">
        <f>MAX(0.7,1+_xlfn.NORM.INV(RAND(),0,$B$14*0.5))</f>
        <v>1.002897</v>
      </c>
      <c r="F65">
        <f>MAX(0.85,1+_xlfn.NORM.INV(RAND(),0,$B$14*0.4))</f>
        <v>1</v>
      </c>
      <c r="G65">
        <f>MAX(0.75,1+_xlfn.NORM.INV(RAND(),0,$B$14*0.35))</f>
        <v>1</v>
      </c>
      <c r="H65">
        <f>IF($B65=1,1,POWER(1+$B$9,-3/12))</f>
        <v>1</v>
      </c>
      <c r="I65">
        <f>IF($B65=1,E65,F65*G65)</f>
        <v>1.002897</v>
      </c>
      <c r="J65">
        <f>IF($B65=1,0,$B$12+($B$13-$B$12)*(-3/23))</f>
        <v>0</v>
      </c>
      <c r="K65">
        <f>IF($B65=1,0,0.85+0.15*D65)</f>
        <v>0</v>
      </c>
    </row>
    <row r="66">
      <c r="A66" t="inlineStr">
        <is>
          <t>2027-01-01</t>
        </is>
      </c>
      <c r="B66">
        <v>1</v>
      </c>
      <c r="C66" t="inlineStr">
        <is>
          <t>phase_1_user_growth</t>
        </is>
      </c>
      <c r="D66">
        <v>0.945877106974002</v>
      </c>
      <c r="E66">
        <f>MAX(0.7,1+_xlfn.NORM.INV(RAND(),0,$B$14*0.5))</f>
        <v>1.005807</v>
      </c>
      <c r="F66">
        <f>MAX(0.85,1+_xlfn.NORM.INV(RAND(),0,$B$14*0.4))</f>
        <v>1</v>
      </c>
      <c r="G66">
        <f>MAX(0.75,1+_xlfn.NORM.INV(RAND(),0,$B$14*0.35))</f>
        <v>1</v>
      </c>
      <c r="H66">
        <f>IF($B66=1,1,POWER(1+$B$9,-2/12))</f>
        <v>1</v>
      </c>
      <c r="I66">
        <f>IF($B66=1,E66,F66*G66)</f>
        <v>1.005807</v>
      </c>
      <c r="J66">
        <f>IF($B66=1,0,$B$12+($B$13-$B$12)*(-2/23))</f>
        <v>0</v>
      </c>
      <c r="K66">
        <f>IF($B66=1,0,0.85+0.15*D66)</f>
        <v>0</v>
      </c>
    </row>
    <row r="67">
      <c r="A67" t="inlineStr">
        <is>
          <t>2027-02-01</t>
        </is>
      </c>
      <c r="B67">
        <v>1</v>
      </c>
      <c r="C67" t="inlineStr">
        <is>
          <t>phase_1_user_growth</t>
        </is>
      </c>
      <c r="D67">
        <v>1.16796704745391</v>
      </c>
      <c r="E67">
        <f>MAX(0.7,1+_xlfn.NORM.INV(RAND(),0,$B$14*0.5))</f>
        <v>1.029089</v>
      </c>
      <c r="F67">
        <f>MAX(0.85,1+_xlfn.NORM.INV(RAND(),0,$B$14*0.4))</f>
        <v>1</v>
      </c>
      <c r="G67">
        <f>MAX(0.75,1+_xlfn.NORM.INV(RAND(),0,$B$14*0.35))</f>
        <v>1</v>
      </c>
      <c r="H67">
        <f>IF($B67=1,1,POWER(1+$B$9,-1/12))</f>
        <v>1</v>
      </c>
      <c r="I67">
        <f>IF($B67=1,E67,F67*G67)</f>
        <v>1.029089</v>
      </c>
      <c r="J67">
        <f>IF($B67=1,0,$B$12+($B$13-$B$12)*(-1/23))</f>
        <v>0</v>
      </c>
      <c r="K67">
        <f>IF($B67=1,0,0.85+0.15*D67)</f>
        <v>0</v>
      </c>
    </row>
    <row r="68">
      <c r="A68" t="inlineStr">
        <is>
          <t>2027-03-01</t>
        </is>
      </c>
      <c r="B68">
        <v>2</v>
      </c>
      <c r="C68" t="inlineStr">
        <is>
          <t>phase_2_marketplace_activation</t>
        </is>
      </c>
      <c r="D68">
        <v>1</v>
      </c>
      <c r="E68">
        <f>MAX(0.7,1+_xlfn.NORM.INV(RAND(),0,$B$14*0.5))</f>
        <v>1</v>
      </c>
      <c r="F68">
        <f>MAX(0.85,1+_xlfn.NORM.INV(RAND(),0,$B$14*0.4))</f>
        <v>1.013133</v>
      </c>
      <c r="G68">
        <f>MAX(0.75,1+_xlfn.NORM.INV(RAND(),0,$B$14*0.35))</f>
        <v>1.001934</v>
      </c>
      <c r="H68">
        <f>IF($B68=1,1,POWER(1+$B$9,0/12))</f>
        <v>1</v>
      </c>
      <c r="I68">
        <f>IF($B68=1,E68,F68*G68)</f>
        <v>1.015092</v>
      </c>
      <c r="J68">
        <f>IF($B68=1,0,$B$12+($B$13-$B$12)*(0/23))</f>
        <v>10</v>
      </c>
      <c r="K68">
        <f>IF($B68=1,0,0.85+0.15*D68)</f>
        <v>1</v>
      </c>
    </row>
    <row r="69">
      <c r="A69" t="inlineStr">
        <is>
          <t>2027-04-01</t>
        </is>
      </c>
      <c r="B69">
        <v>2</v>
      </c>
      <c r="C69" t="inlineStr">
        <is>
          <t>phase_2_marketplace_activation</t>
        </is>
      </c>
      <c r="D69">
        <v>0.989947230456269</v>
      </c>
      <c r="E69">
        <f>MAX(0.7,1+_xlfn.NORM.INV(RAND(),0,$B$14*0.5))</f>
        <v>1</v>
      </c>
      <c r="F69">
        <f>MAX(0.85,1+_xlfn.NORM.INV(RAND(),0,$B$14*0.4))</f>
        <v>0.985234</v>
      </c>
      <c r="G69">
        <f>MAX(0.75,1+_xlfn.NORM.INV(RAND(),0,$B$14*0.35))</f>
        <v>0.982243</v>
      </c>
      <c r="H69">
        <f>IF($B69=1,1,POWER(1+$B$9,1/12))</f>
        <v>1.002466</v>
      </c>
      <c r="I69">
        <f>IF($B69=1,E69,F69*G69)</f>
        <v>0.967739</v>
      </c>
      <c r="J69">
        <f>IF($B69=1,0,$B$12+($B$13-$B$12)*(1/23))</f>
        <v>26.9565217391304</v>
      </c>
      <c r="K69">
        <f>IF($B69=1,0,0.85+0.15*D69)</f>
        <v>0.99849208456844</v>
      </c>
    </row>
    <row r="70">
      <c r="A70" t="inlineStr">
        <is>
          <t>2027-05-01</t>
        </is>
      </c>
      <c r="B70">
        <v>2</v>
      </c>
      <c r="C70" t="inlineStr">
        <is>
          <t>phase_2_marketplace_activation</t>
        </is>
      </c>
      <c r="D70">
        <v>1.18893941969815</v>
      </c>
      <c r="E70">
        <f>MAX(0.7,1+_xlfn.NORM.INV(RAND(),0,$B$14*0.5))</f>
        <v>1</v>
      </c>
      <c r="F70">
        <f>MAX(0.85,1+_xlfn.NORM.INV(RAND(),0,$B$14*0.4))</f>
        <v>1.004927</v>
      </c>
      <c r="G70">
        <f>MAX(0.75,1+_xlfn.NORM.INV(RAND(),0,$B$14*0.35))</f>
        <v>1.022944</v>
      </c>
      <c r="H70">
        <f>IF($B70=1,1,POWER(1+$B$9,2/12))</f>
        <v>1.004939</v>
      </c>
      <c r="I70">
        <f>IF($B70=1,E70,F70*G70)</f>
        <v>1.027984</v>
      </c>
      <c r="J70">
        <f>IF($B70=1,0,$B$12+($B$13-$B$12)*(2/23))</f>
        <v>43.9130434782609</v>
      </c>
      <c r="K70">
        <f>IF($B70=1,0,0.85+0.15*D70)</f>
        <v>1.02834091295472</v>
      </c>
    </row>
    <row r="71">
      <c r="A71" t="inlineStr">
        <is>
          <t>2027-06-01</t>
        </is>
      </c>
      <c r="B71">
        <v>2</v>
      </c>
      <c r="C71" t="inlineStr">
        <is>
          <t>phase_2_marketplace_activation</t>
        </is>
      </c>
      <c r="D71">
        <v>1.06357973164495</v>
      </c>
      <c r="E71">
        <f>MAX(0.7,1+_xlfn.NORM.INV(RAND(),0,$B$14*0.5))</f>
        <v>1</v>
      </c>
      <c r="F71">
        <f>MAX(0.85,1+_xlfn.NORM.INV(RAND(),0,$B$14*0.4))</f>
        <v>1.000833</v>
      </c>
      <c r="G71">
        <f>MAX(0.75,1+_xlfn.NORM.INV(RAND(),0,$B$14*0.35))</f>
        <v>0.998139</v>
      </c>
      <c r="H71">
        <f>IF($B71=1,1,POWER(1+$B$9,3/12))</f>
        <v>1.007417</v>
      </c>
      <c r="I71">
        <f>IF($B71=1,E71,F71*G71)</f>
        <v>0.998971</v>
      </c>
      <c r="J71">
        <f>IF($B71=1,0,$B$12+($B$13-$B$12)*(3/23))</f>
        <v>60.8695652173913</v>
      </c>
      <c r="K71">
        <f>IF($B71=1,0,0.85+0.15*D71)</f>
        <v>1.00953695974674</v>
      </c>
    </row>
    <row r="72">
      <c r="A72" t="inlineStr">
        <is>
          <t>2027-07-01</t>
        </is>
      </c>
      <c r="B72">
        <v>2</v>
      </c>
      <c r="C72" t="inlineStr">
        <is>
          <t>phase_2_marketplace_activation</t>
        </is>
      </c>
      <c r="D72">
        <v>1.04666813491929</v>
      </c>
      <c r="E72">
        <f>MAX(0.7,1+_xlfn.NORM.INV(RAND(),0,$B$14*0.5))</f>
        <v>1</v>
      </c>
      <c r="F72">
        <f>MAX(0.85,1+_xlfn.NORM.INV(RAND(),0,$B$14*0.4))</f>
        <v>1.010636</v>
      </c>
      <c r="G72">
        <f>MAX(0.75,1+_xlfn.NORM.INV(RAND(),0,$B$14*0.35))</f>
        <v>0.974563</v>
      </c>
      <c r="H72">
        <f>IF($B72=1,1,POWER(1+$B$9,4/12))</f>
        <v>1.009902</v>
      </c>
      <c r="I72">
        <f>IF($B72=1,E72,F72*G72)</f>
        <v>0.984928</v>
      </c>
      <c r="J72">
        <f>IF($B72=1,0,$B$12+($B$13-$B$12)*(4/23))</f>
        <v>77.8260869565217</v>
      </c>
      <c r="K72">
        <f>IF($B72=1,0,0.85+0.15*D72)</f>
        <v>1.00700022023789</v>
      </c>
    </row>
    <row r="73">
      <c r="A73" t="inlineStr">
        <is>
          <t>2027-08-01</t>
        </is>
      </c>
      <c r="B73">
        <v>2</v>
      </c>
      <c r="C73" t="inlineStr">
        <is>
          <t>phase_2_marketplace_activation</t>
        </is>
      </c>
      <c r="D73">
        <v>1.08164077629362</v>
      </c>
      <c r="E73">
        <f>MAX(0.7,1+_xlfn.NORM.INV(RAND(),0,$B$14*0.5))</f>
        <v>1</v>
      </c>
      <c r="F73">
        <f>MAX(0.85,1+_xlfn.NORM.INV(RAND(),0,$B$14*0.4))</f>
        <v>0.993754</v>
      </c>
      <c r="G73">
        <f>MAX(0.75,1+_xlfn.NORM.INV(RAND(),0,$B$14*0.35))</f>
        <v>1.008581</v>
      </c>
      <c r="H73">
        <f>IF($B73=1,1,POWER(1+$B$9,5/12))</f>
        <v>1.012392</v>
      </c>
      <c r="I73">
        <f>IF($B73=1,E73,F73*G73)</f>
        <v>1.002282</v>
      </c>
      <c r="J73">
        <f>IF($B73=1,0,$B$12+($B$13-$B$12)*(5/23))</f>
        <v>94.7826086956522</v>
      </c>
      <c r="K73">
        <f>IF($B73=1,0,0.85+0.15*D73)</f>
        <v>1.01224611644404</v>
      </c>
    </row>
    <row r="74">
      <c r="A74" t="inlineStr">
        <is>
          <t>2027-09-01</t>
        </is>
      </c>
      <c r="B74">
        <v>2</v>
      </c>
      <c r="C74" t="inlineStr">
        <is>
          <t>phase_2_marketplace_activation</t>
        </is>
      </c>
      <c r="D74">
        <v>1.03979563529009</v>
      </c>
      <c r="E74">
        <f>MAX(0.7,1+_xlfn.NORM.INV(RAND(),0,$B$14*0.5))</f>
        <v>1</v>
      </c>
      <c r="F74">
        <f>MAX(0.85,1+_xlfn.NORM.INV(RAND(),0,$B$14*0.4))</f>
        <v>1.017468</v>
      </c>
      <c r="G74">
        <f>MAX(0.75,1+_xlfn.NORM.INV(RAND(),0,$B$14*0.35))</f>
        <v>0.995789</v>
      </c>
      <c r="H74">
        <f>IF($B74=1,1,POWER(1+$B$9,6/12))</f>
        <v>1.014889</v>
      </c>
      <c r="I74">
        <f>IF($B74=1,E74,F74*G74)</f>
        <v>1.013184</v>
      </c>
      <c r="J74">
        <f>IF($B74=1,0,$B$12+($B$13-$B$12)*(6/23))</f>
        <v>111.739130434783</v>
      </c>
      <c r="K74">
        <f>IF($B74=1,0,0.85+0.15*D74)</f>
        <v>1.00596934529351</v>
      </c>
    </row>
    <row r="75">
      <c r="A75" t="inlineStr">
        <is>
          <t>2027-10-01</t>
        </is>
      </c>
      <c r="B75">
        <v>2</v>
      </c>
      <c r="C75" t="inlineStr">
        <is>
          <t>phase_2_marketplace_activation</t>
        </is>
      </c>
      <c r="D75">
        <v>1.06919417834941</v>
      </c>
      <c r="E75">
        <f>MAX(0.7,1+_xlfn.NORM.INV(RAND(),0,$B$14*0.5))</f>
        <v>1</v>
      </c>
      <c r="F75">
        <f>MAX(0.85,1+_xlfn.NORM.INV(RAND(),0,$B$14*0.4))</f>
        <v>1.007532</v>
      </c>
      <c r="G75">
        <f>MAX(0.75,1+_xlfn.NORM.INV(RAND(),0,$B$14*0.35))</f>
        <v>1.004344</v>
      </c>
      <c r="H75">
        <f>IF($B75=1,1,POWER(1+$B$9,7/12))</f>
        <v>1.017392</v>
      </c>
      <c r="I75">
        <f>IF($B75=1,E75,F75*G75)</f>
        <v>1.011908</v>
      </c>
      <c r="J75">
        <f>IF($B75=1,0,$B$12+($B$13-$B$12)*(7/23))</f>
        <v>128.695652173913</v>
      </c>
      <c r="K75">
        <f>IF($B75=1,0,0.85+0.15*D75)</f>
        <v>1.01037912675241</v>
      </c>
    </row>
    <row r="76">
      <c r="A76" t="inlineStr">
        <is>
          <t>2027-11-01</t>
        </is>
      </c>
      <c r="B76">
        <v>2</v>
      </c>
      <c r="C76" t="inlineStr">
        <is>
          <t>phase_2_marketplace_activation</t>
        </is>
      </c>
      <c r="D76">
        <v>1.21332398881221</v>
      </c>
      <c r="E76">
        <f>MAX(0.7,1+_xlfn.NORM.INV(RAND(),0,$B$14*0.5))</f>
        <v>1</v>
      </c>
      <c r="F76">
        <f>MAX(0.85,1+_xlfn.NORM.INV(RAND(),0,$B$14*0.4))</f>
        <v>1.015647</v>
      </c>
      <c r="G76">
        <f>MAX(0.75,1+_xlfn.NORM.INV(RAND(),0,$B$14*0.35))</f>
        <v>0.980519</v>
      </c>
      <c r="H76">
        <f>IF($B76=1,1,POWER(1+$B$9,8/12))</f>
        <v>1.019901</v>
      </c>
      <c r="I76">
        <f>IF($B76=1,E76,F76*G76)</f>
        <v>0.99586</v>
      </c>
      <c r="J76">
        <f>IF($B76=1,0,$B$12+($B$13-$B$12)*(8/23))</f>
        <v>145.652173913043</v>
      </c>
      <c r="K76">
        <f>IF($B76=1,0,0.85+0.15*D76)</f>
        <v>1.03199859832183</v>
      </c>
    </row>
    <row r="77">
      <c r="A77" t="inlineStr">
        <is>
          <t>2027-12-01</t>
        </is>
      </c>
      <c r="B77">
        <v>2</v>
      </c>
      <c r="C77" t="inlineStr">
        <is>
          <t>phase_2_marketplace_activation</t>
        </is>
      </c>
      <c r="D77">
        <v>2.27627423629054</v>
      </c>
      <c r="E77">
        <f>MAX(0.7,1+_xlfn.NORM.INV(RAND(),0,$B$14*0.5))</f>
        <v>1</v>
      </c>
      <c r="F77">
        <f>MAX(0.85,1+_xlfn.NORM.INV(RAND(),0,$B$14*0.4))</f>
        <v>1.011365</v>
      </c>
      <c r="G77">
        <f>MAX(0.75,1+_xlfn.NORM.INV(RAND(),0,$B$14*0.35))</f>
        <v>0.973496</v>
      </c>
      <c r="H77">
        <f>IF($B77=1,1,POWER(1+$B$9,9/12))</f>
        <v>1.022417</v>
      </c>
      <c r="I77">
        <f>IF($B77=1,E77,F77*G77)</f>
        <v>0.98456</v>
      </c>
      <c r="J77">
        <f>IF($B77=1,0,$B$12+($B$13-$B$12)*(9/23))</f>
        <v>162.608695652174</v>
      </c>
      <c r="K77">
        <f>IF($B77=1,0,0.85+0.15*D77)</f>
        <v>1.19144113544358</v>
      </c>
    </row>
    <row r="78">
      <c r="A78" t="inlineStr">
        <is>
          <t>2028-01-01</t>
        </is>
      </c>
      <c r="B78">
        <v>2</v>
      </c>
      <c r="C78" t="inlineStr">
        <is>
          <t>phase_2_marketplace_activation</t>
        </is>
      </c>
      <c r="D78">
        <v>0.945877106974002</v>
      </c>
      <c r="E78">
        <f>MAX(0.7,1+_xlfn.NORM.INV(RAND(),0,$B$14*0.5))</f>
        <v>1</v>
      </c>
      <c r="F78">
        <f>MAX(0.85,1+_xlfn.NORM.INV(RAND(),0,$B$14*0.4))</f>
        <v>0.947601</v>
      </c>
      <c r="G78">
        <f>MAX(0.75,1+_xlfn.NORM.INV(RAND(),0,$B$14*0.35))</f>
        <v>0.989379</v>
      </c>
      <c r="H78">
        <f>IF($B78=1,1,POWER(1+$B$9,10/12))</f>
        <v>1.024938</v>
      </c>
      <c r="I78">
        <f>IF($B78=1,E78,F78*G78)</f>
        <v>0.937537</v>
      </c>
      <c r="J78">
        <f>IF($B78=1,0,$B$12+($B$13-$B$12)*(10/23))</f>
        <v>179.565217391304</v>
      </c>
      <c r="K78">
        <f>IF($B78=1,0,0.85+0.15*D78)</f>
        <v>0.9918815660461</v>
      </c>
    </row>
    <row r="79">
      <c r="A79" t="inlineStr">
        <is>
          <t>2028-02-01</t>
        </is>
      </c>
      <c r="B79">
        <v>2</v>
      </c>
      <c r="C79" t="inlineStr">
        <is>
          <t>phase_2_marketplace_activation</t>
        </is>
      </c>
      <c r="D79">
        <v>1.16796704745391</v>
      </c>
      <c r="E79">
        <f>MAX(0.7,1+_xlfn.NORM.INV(RAND(),0,$B$14*0.5))</f>
        <v>1</v>
      </c>
      <c r="F79">
        <f>MAX(0.85,1+_xlfn.NORM.INV(RAND(),0,$B$14*0.4))</f>
        <v>0.981684</v>
      </c>
      <c r="G79">
        <f>MAX(0.75,1+_xlfn.NORM.INV(RAND(),0,$B$14*0.35))</f>
        <v>1.01533</v>
      </c>
      <c r="H79">
        <f>IF($B79=1,1,POWER(1+$B$9,11/12))</f>
        <v>1.027466</v>
      </c>
      <c r="I79">
        <f>IF($B79=1,E79,F79*G79)</f>
        <v>0.996733</v>
      </c>
      <c r="J79">
        <f>IF($B79=1,0,$B$12+($B$13-$B$12)*(11/23))</f>
        <v>196.521739130435</v>
      </c>
      <c r="K79">
        <f>IF($B79=1,0,0.85+0.15*D79)</f>
        <v>1.02519505711809</v>
      </c>
    </row>
    <row r="80">
      <c r="A80" t="inlineStr">
        <is>
          <t>2028-03-01</t>
        </is>
      </c>
      <c r="B80">
        <v>3</v>
      </c>
      <c r="C80" t="inlineStr">
        <is>
          <t>phase_3_projection</t>
        </is>
      </c>
      <c r="D80">
        <v>1</v>
      </c>
      <c r="E80">
        <f>MAX(0.7,1+_xlfn.NORM.INV(RAND(),0,$B$14*0.5))</f>
        <v>1</v>
      </c>
      <c r="F80">
        <f>MAX(0.85,1+_xlfn.NORM.INV(RAND(),0,$B$14*0.4))</f>
        <v>1.013285</v>
      </c>
      <c r="G80">
        <f>MAX(0.75,1+_xlfn.NORM.INV(RAND(),0,$B$14*0.35))</f>
        <v>0.978666</v>
      </c>
      <c r="H80">
        <f>IF($B80=1,1,POWER(1+$B$9,12/12))</f>
        <v>1.03</v>
      </c>
      <c r="I80">
        <f>IF($B80=1,E80,F80*G80)</f>
        <v>0.991668</v>
      </c>
      <c r="J80">
        <f>IF($B80=1,0,$B$12+($B$13-$B$12)*(12/23))</f>
        <v>213.478260869565</v>
      </c>
      <c r="K80">
        <f>IF($B80=1,0,0.85+0.15*D80)</f>
        <v>1</v>
      </c>
    </row>
    <row r="81">
      <c r="A81" t="inlineStr">
        <is>
          <t>2028-04-01</t>
        </is>
      </c>
      <c r="B81">
        <v>3</v>
      </c>
      <c r="C81" t="inlineStr">
        <is>
          <t>phase_3_projection</t>
        </is>
      </c>
      <c r="D81">
        <v>0.989947230456269</v>
      </c>
      <c r="E81">
        <f>MAX(0.7,1+_xlfn.NORM.INV(RAND(),0,$B$14*0.5))</f>
        <v>1</v>
      </c>
      <c r="F81">
        <f>MAX(0.85,1+_xlfn.NORM.INV(RAND(),0,$B$14*0.4))</f>
        <v>1.016947</v>
      </c>
      <c r="G81">
        <f>MAX(0.75,1+_xlfn.NORM.INV(RAND(),0,$B$14*0.35))</f>
        <v>0.982461</v>
      </c>
      <c r="H81">
        <f>IF($B81=1,1,POWER(1+$B$9,13/12))</f>
        <v>1.03254</v>
      </c>
      <c r="I81">
        <f>IF($B81=1,E81,F81*G81)</f>
        <v>0.999111</v>
      </c>
      <c r="J81">
        <f>IF($B81=1,0,$B$12+($B$13-$B$12)*(13/23))</f>
        <v>230.434782608696</v>
      </c>
      <c r="K81">
        <f>IF($B81=1,0,0.85+0.15*D81)</f>
        <v>0.99849208456844</v>
      </c>
    </row>
    <row r="82">
      <c r="A82" t="inlineStr">
        <is>
          <t>2028-05-01</t>
        </is>
      </c>
      <c r="B82">
        <v>3</v>
      </c>
      <c r="C82" t="inlineStr">
        <is>
          <t>phase_3_projection</t>
        </is>
      </c>
      <c r="D82">
        <v>1.18893941969815</v>
      </c>
      <c r="E82">
        <f>MAX(0.7,1+_xlfn.NORM.INV(RAND(),0,$B$14*0.5))</f>
        <v>1</v>
      </c>
      <c r="F82">
        <f>MAX(0.85,1+_xlfn.NORM.INV(RAND(),0,$B$14*0.4))</f>
        <v>0.998275</v>
      </c>
      <c r="G82">
        <f>MAX(0.75,1+_xlfn.NORM.INV(RAND(),0,$B$14*0.35))</f>
        <v>0.994857</v>
      </c>
      <c r="H82">
        <f>IF($B82=1,1,POWER(1+$B$9,14/12))</f>
        <v>1.035087</v>
      </c>
      <c r="I82">
        <f>IF($B82=1,E82,F82*G82)</f>
        <v>0.993141</v>
      </c>
      <c r="J82">
        <f>IF($B82=1,0,$B$12+($B$13-$B$12)*(14/23))</f>
        <v>247.391304347826</v>
      </c>
      <c r="K82">
        <f>IF($B82=1,0,0.85+0.15*D82)</f>
        <v>1.02834091295472</v>
      </c>
    </row>
    <row r="83">
      <c r="A83" t="inlineStr">
        <is>
          <t>2028-06-01</t>
        </is>
      </c>
      <c r="B83">
        <v>3</v>
      </c>
      <c r="C83" t="inlineStr">
        <is>
          <t>phase_3_projection</t>
        </is>
      </c>
      <c r="D83">
        <v>1.06357973164495</v>
      </c>
      <c r="E83">
        <f>MAX(0.7,1+_xlfn.NORM.INV(RAND(),0,$B$14*0.5))</f>
        <v>1</v>
      </c>
      <c r="F83">
        <f>MAX(0.85,1+_xlfn.NORM.INV(RAND(),0,$B$14*0.4))</f>
        <v>1.002288</v>
      </c>
      <c r="G83">
        <f>MAX(0.75,1+_xlfn.NORM.INV(RAND(),0,$B$14*0.35))</f>
        <v>1.014326</v>
      </c>
      <c r="H83">
        <f>IF($B83=1,1,POWER(1+$B$9,15/12))</f>
        <v>1.03764</v>
      </c>
      <c r="I83">
        <f>IF($B83=1,E83,F83*G83)</f>
        <v>1.016647</v>
      </c>
      <c r="J83">
        <f>IF($B83=1,0,$B$12+($B$13-$B$12)*(15/23))</f>
        <v>264.347826086957</v>
      </c>
      <c r="K83">
        <f>IF($B83=1,0,0.85+0.15*D83)</f>
        <v>1.00953695974674</v>
      </c>
    </row>
    <row r="84">
      <c r="A84" t="inlineStr">
        <is>
          <t>2028-07-01</t>
        </is>
      </c>
      <c r="B84">
        <v>3</v>
      </c>
      <c r="C84" t="inlineStr">
        <is>
          <t>phase_3_projection</t>
        </is>
      </c>
      <c r="D84">
        <v>1.04666813491929</v>
      </c>
      <c r="E84">
        <f>MAX(0.7,1+_xlfn.NORM.INV(RAND(),0,$B$14*0.5))</f>
        <v>1</v>
      </c>
      <c r="F84">
        <f>MAX(0.85,1+_xlfn.NORM.INV(RAND(),0,$B$14*0.4))</f>
        <v>1.012768</v>
      </c>
      <c r="G84">
        <f>MAX(0.75,1+_xlfn.NORM.INV(RAND(),0,$B$14*0.35))</f>
        <v>1.006123</v>
      </c>
      <c r="H84">
        <f>IF($B84=1,1,POWER(1+$B$9,16/12))</f>
        <v>1.040199</v>
      </c>
      <c r="I84">
        <f>IF($B84=1,E84,F84*G84)</f>
        <v>1.018969</v>
      </c>
      <c r="J84">
        <f>IF($B84=1,0,$B$12+($B$13-$B$12)*(16/23))</f>
        <v>281.304347826087</v>
      </c>
      <c r="K84">
        <f>IF($B84=1,0,0.85+0.15*D84)</f>
        <v>1.00700022023789</v>
      </c>
    </row>
    <row r="85">
      <c r="A85" t="inlineStr">
        <is>
          <t>2028-08-01</t>
        </is>
      </c>
      <c r="B85">
        <v>3</v>
      </c>
      <c r="C85" t="inlineStr">
        <is>
          <t>phase_3_projection</t>
        </is>
      </c>
      <c r="D85">
        <v>1.08164077629362</v>
      </c>
      <c r="E85">
        <f>MAX(0.7,1+_xlfn.NORM.INV(RAND(),0,$B$14*0.5))</f>
        <v>1</v>
      </c>
      <c r="F85">
        <f>MAX(0.85,1+_xlfn.NORM.INV(RAND(),0,$B$14*0.4))</f>
        <v>1.012999</v>
      </c>
      <c r="G85">
        <f>MAX(0.75,1+_xlfn.NORM.INV(RAND(),0,$B$14*0.35))</f>
        <v>1.008374</v>
      </c>
      <c r="H85">
        <f>IF($B85=1,1,POWER(1+$B$9,17/12))</f>
        <v>1.042764</v>
      </c>
      <c r="I85">
        <f>IF($B85=1,E85,F85*G85)</f>
        <v>1.021481</v>
      </c>
      <c r="J85">
        <f>IF($B85=1,0,$B$12+($B$13-$B$12)*(17/23))</f>
        <v>298.260869565217</v>
      </c>
      <c r="K85">
        <f>IF($B85=1,0,0.85+0.15*D85)</f>
        <v>1.01224611644404</v>
      </c>
    </row>
    <row r="86">
      <c r="A86" t="inlineStr">
        <is>
          <t>2028-09-01</t>
        </is>
      </c>
      <c r="B86">
        <v>3</v>
      </c>
      <c r="C86" t="inlineStr">
        <is>
          <t>phase_3_projection</t>
        </is>
      </c>
      <c r="D86">
        <v>1.03979563529009</v>
      </c>
      <c r="E86">
        <f>MAX(0.7,1+_xlfn.NORM.INV(RAND(),0,$B$14*0.5))</f>
        <v>1</v>
      </c>
      <c r="F86">
        <f>MAX(0.85,1+_xlfn.NORM.INV(RAND(),0,$B$14*0.4))</f>
        <v>0.98746</v>
      </c>
      <c r="G86">
        <f>MAX(0.75,1+_xlfn.NORM.INV(RAND(),0,$B$14*0.35))</f>
        <v>0.987446</v>
      </c>
      <c r="H86">
        <f>IF($B86=1,1,POWER(1+$B$9,18/12))</f>
        <v>1.045336</v>
      </c>
      <c r="I86">
        <f>IF($B86=1,E86,F86*G86)</f>
        <v>0.975064</v>
      </c>
      <c r="J86">
        <f>IF($B86=1,0,$B$12+($B$13-$B$12)*(18/23))</f>
        <v>315.217391304348</v>
      </c>
      <c r="K86">
        <f>IF($B86=1,0,0.85+0.15*D86)</f>
        <v>1.00596934529351</v>
      </c>
    </row>
    <row r="87">
      <c r="A87" t="inlineStr">
        <is>
          <t>2028-10-01</t>
        </is>
      </c>
      <c r="B87">
        <v>3</v>
      </c>
      <c r="C87" t="inlineStr">
        <is>
          <t>phase_3_projection</t>
        </is>
      </c>
      <c r="D87">
        <v>1.06919417834941</v>
      </c>
      <c r="E87">
        <f>MAX(0.7,1+_xlfn.NORM.INV(RAND(),0,$B$14*0.5))</f>
        <v>1</v>
      </c>
      <c r="F87">
        <f>MAX(0.85,1+_xlfn.NORM.INV(RAND(),0,$B$14*0.4))</f>
        <v>0.990601</v>
      </c>
      <c r="G87">
        <f>MAX(0.75,1+_xlfn.NORM.INV(RAND(),0,$B$14*0.35))</f>
        <v>1.008738</v>
      </c>
      <c r="H87">
        <f>IF($B87=1,1,POWER(1+$B$9,19/12))</f>
        <v>1.047914</v>
      </c>
      <c r="I87">
        <f>IF($B87=1,E87,F87*G87)</f>
        <v>0.999257</v>
      </c>
      <c r="J87">
        <f>IF($B87=1,0,$B$12+($B$13-$B$12)*(19/23))</f>
        <v>332.173913043478</v>
      </c>
      <c r="K87">
        <f>IF($B87=1,0,0.85+0.15*D87)</f>
        <v>1.01037912675241</v>
      </c>
    </row>
    <row r="88">
      <c r="A88" t="inlineStr">
        <is>
          <t>2028-11-01</t>
        </is>
      </c>
      <c r="B88">
        <v>3</v>
      </c>
      <c r="C88" t="inlineStr">
        <is>
          <t>phase_3_projection</t>
        </is>
      </c>
      <c r="D88">
        <v>1.21332398881221</v>
      </c>
      <c r="E88">
        <f>MAX(0.7,1+_xlfn.NORM.INV(RAND(),0,$B$14*0.5))</f>
        <v>1</v>
      </c>
      <c r="F88">
        <f>MAX(0.85,1+_xlfn.NORM.INV(RAND(),0,$B$14*0.4))</f>
        <v>0.994998</v>
      </c>
      <c r="G88">
        <f>MAX(0.75,1+_xlfn.NORM.INV(RAND(),0,$B$14*0.35))</f>
        <v>1.040876</v>
      </c>
      <c r="H88">
        <f>IF($B88=1,1,POWER(1+$B$9,20/12))</f>
        <v>1.050498</v>
      </c>
      <c r="I88">
        <f>IF($B88=1,E88,F88*G88)</f>
        <v>1.035669</v>
      </c>
      <c r="J88">
        <f>IF($B88=1,0,$B$12+($B$13-$B$12)*(20/23))</f>
        <v>349.130434782609</v>
      </c>
      <c r="K88">
        <f>IF($B88=1,0,0.85+0.15*D88)</f>
        <v>1.03199859832183</v>
      </c>
    </row>
    <row r="89">
      <c r="A89" t="inlineStr">
        <is>
          <t>2028-12-01</t>
        </is>
      </c>
      <c r="B89">
        <v>3</v>
      </c>
      <c r="C89" t="inlineStr">
        <is>
          <t>phase_3_projection</t>
        </is>
      </c>
      <c r="D89">
        <v>2.27627423629054</v>
      </c>
      <c r="E89">
        <f>MAX(0.7,1+_xlfn.NORM.INV(RAND(),0,$B$14*0.5))</f>
        <v>1</v>
      </c>
      <c r="F89">
        <f>MAX(0.85,1+_xlfn.NORM.INV(RAND(),0,$B$14*0.4))</f>
        <v>0.983614</v>
      </c>
      <c r="G89">
        <f>MAX(0.75,1+_xlfn.NORM.INV(RAND(),0,$B$14*0.35))</f>
        <v>0.98077</v>
      </c>
      <c r="H89">
        <f>IF($B89=1,1,POWER(1+$B$9,21/12))</f>
        <v>1.053089</v>
      </c>
      <c r="I89">
        <f>IF($B89=1,E89,F89*G89)</f>
        <v>0.964699</v>
      </c>
      <c r="J89">
        <f>IF($B89=1,0,$B$12+($B$13-$B$12)*(21/23))</f>
        <v>366.086956521739</v>
      </c>
      <c r="K89">
        <f>IF($B89=1,0,0.85+0.15*D89)</f>
        <v>1.19144113544358</v>
      </c>
    </row>
    <row r="90">
      <c r="A90" t="inlineStr">
        <is>
          <t>2029-01-01</t>
        </is>
      </c>
      <c r="B90">
        <v>3</v>
      </c>
      <c r="C90" t="inlineStr">
        <is>
          <t>phase_3_projection</t>
        </is>
      </c>
      <c r="D90">
        <v>0.945877106974002</v>
      </c>
      <c r="E90">
        <f>MAX(0.7,1+_xlfn.NORM.INV(RAND(),0,$B$14*0.5))</f>
        <v>1</v>
      </c>
      <c r="F90">
        <f>MAX(0.85,1+_xlfn.NORM.INV(RAND(),0,$B$14*0.4))</f>
        <v>1.015369</v>
      </c>
      <c r="G90">
        <f>MAX(0.75,1+_xlfn.NORM.INV(RAND(),0,$B$14*0.35))</f>
        <v>1.024882</v>
      </c>
      <c r="H90">
        <f>IF($B90=1,1,POWER(1+$B$9,22/12))</f>
        <v>1.055686</v>
      </c>
      <c r="I90">
        <f>IF($B90=1,E90,F90*G90)</f>
        <v>1.040634</v>
      </c>
      <c r="J90">
        <f>IF($B90=1,0,$B$12+($B$13-$B$12)*(22/23))</f>
        <v>383.04347826087</v>
      </c>
      <c r="K90">
        <f>IF($B90=1,0,0.85+0.15*D90)</f>
        <v>0.9918815660461</v>
      </c>
    </row>
    <row r="91">
      <c r="A91" t="inlineStr">
        <is>
          <t>2029-02-01</t>
        </is>
      </c>
      <c r="B91">
        <v>3</v>
      </c>
      <c r="C91" t="inlineStr">
        <is>
          <t>phase_3_projection</t>
        </is>
      </c>
      <c r="D91">
        <v>1.16796704745391</v>
      </c>
      <c r="E91">
        <f>MAX(0.7,1+_xlfn.NORM.INV(RAND(),0,$B$14*0.5))</f>
        <v>1</v>
      </c>
      <c r="F91">
        <f>MAX(0.85,1+_xlfn.NORM.INV(RAND(),0,$B$14*0.4))</f>
        <v>1.010114</v>
      </c>
      <c r="G91">
        <f>MAX(0.75,1+_xlfn.NORM.INV(RAND(),0,$B$14*0.35))</f>
        <v>1.014627</v>
      </c>
      <c r="H91">
        <f>IF($B91=1,1,POWER(1+$B$9,23/12))</f>
        <v>1.05829</v>
      </c>
      <c r="I91">
        <f>IF($B91=1,E91,F91*G91)</f>
        <v>1.024889</v>
      </c>
      <c r="J91">
        <f>IF($B91=1,0,$B$12+($B$13-$B$12)*(23/23))</f>
        <v>400</v>
      </c>
      <c r="K91">
        <f>IF($B91=1,0,0.85+0.15*D91)</f>
        <v>1.02519505711809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X54"/>
  <sheetViews>
    <sheetView workbookViewId="0"/>
  </sheetViews>
  <sheetFormatPr defaultRowHeight="15"/>
  <sheetData>
    <row r="1">
      <c r="A1" t="inlineStr">
        <is>
          <t>[MAU &amp; Operating Metrics Assumptions]</t>
        </is>
      </c>
      <c r="B1" t="inlineStr">
        <is>
          <t/>
        </is>
      </c>
      <c r="C1" t="inlineStr">
        <is>
          <t>Inputs used by the MAU rollup and cohort acquisition/retention model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projection_months</t>
        </is>
      </c>
      <c r="B3">
        <v>36</v>
      </c>
      <c r="C3" t="inlineStr">
        <is>
          <t>Number of projected monthly rows in the workbook model.</t>
        </is>
      </c>
    </row>
    <row r="4">
      <c r="A4" t="inlineStr">
        <is>
          <t>projection_start_month</t>
        </is>
      </c>
      <c r="B4" t="inlineStr">
        <is>
          <t>2026-03</t>
        </is>
      </c>
      <c r="C4" t="inlineStr">
        <is>
          <t>First month of the synthetic projection in YYYY-MM format.</t>
        </is>
      </c>
    </row>
    <row r="5">
      <c r="A5" t="inlineStr">
        <is>
          <t>new_users_start</t>
        </is>
      </c>
      <c r="B5">
        <v>700</v>
      </c>
      <c r="C5" t="inlineStr">
        <is>
          <t>New users acquired in the first projected cohort month.</t>
        </is>
      </c>
    </row>
    <row r="6">
      <c r="A6" t="inlineStr">
        <is>
          <t>new_users_monthly_growth_year1</t>
        </is>
      </c>
      <c r="B6">
        <v>0.1</v>
      </c>
      <c r="C6" t="inlineStr">
        <is>
          <t>Monthly new-user growth rate applied in Year 1.</t>
        </is>
      </c>
    </row>
    <row r="7">
      <c r="A7" t="inlineStr">
        <is>
          <t>new_users_monthly_growth_year2</t>
        </is>
      </c>
      <c r="B7">
        <v>0.05</v>
      </c>
      <c r="C7" t="inlineStr">
        <is>
          <t>Monthly new-user growth rate applied in Year 2.</t>
        </is>
      </c>
    </row>
    <row r="8">
      <c r="A8" t="inlineStr">
        <is>
          <t>new_users_monthly_growth_year3</t>
        </is>
      </c>
      <c r="B8">
        <v>0.03</v>
      </c>
      <c r="C8" t="inlineStr">
        <is>
          <t>Monthly new-user growth rate applied in Year 3.</t>
        </is>
      </c>
    </row>
    <row r="9">
      <c r="A9" t="inlineStr">
        <is>
          <t>new_user_holiday_spike_multiplier</t>
        </is>
      </c>
      <c r="B9">
        <v>1.3</v>
      </c>
      <c r="C9" t="inlineStr">
        <is>
          <t>Extra acquisition multiplier applied in November and December.</t>
        </is>
      </c>
    </row>
    <row r="10">
      <c r="A10" t="inlineStr">
        <is>
          <t>base_new_users_rule</t>
        </is>
      </c>
      <c r="B10" t="inlineStr">
        <is>
          <t>Month 0 = start; later months = prior month * (1 + current growth rate)</t>
        </is>
      </c>
      <c r="C10" t="inlineStr">
        <is>
          <t>Human-readable formula for the base_new_users column before seasonality, holiday spike, and noise are applied.</t>
        </is>
      </c>
    </row>
    <row r="11">
      <c r="A11" t="inlineStr">
        <is>
          <t>user_retention_month_1</t>
        </is>
      </c>
      <c r="B11">
        <v>0.25</v>
      </c>
      <c r="C11" t="inlineStr">
        <is>
          <t>Share of a cohort still active one month after signup.</t>
        </is>
      </c>
    </row>
    <row r="12">
      <c r="A12" t="inlineStr">
        <is>
          <t>user_retention_month_2</t>
        </is>
      </c>
      <c r="B12">
        <v>0.12</v>
      </c>
      <c r="C12" t="inlineStr">
        <is>
          <t>Share of a cohort still active two months after signup.</t>
        </is>
      </c>
    </row>
    <row r="13">
      <c r="A13" t="inlineStr">
        <is>
          <t>user_retention_month_3</t>
        </is>
      </c>
      <c r="B13">
        <v>0.05</v>
      </c>
      <c r="C13" t="inlineStr">
        <is>
          <t>Share of a cohort still active three months after signup.</t>
        </is>
      </c>
    </row>
    <row r="14">
      <c r="A14" t="inlineStr">
        <is>
          <t>user_retention_decay</t>
        </is>
      </c>
      <c r="B14">
        <v>0.97</v>
      </c>
      <c r="C14" t="inlineStr">
        <is>
          <t>Monthly decay applied to cohort retention after Month 3.</t>
        </is>
      </c>
    </row>
    <row r="15">
      <c r="A15" t="inlineStr">
        <is>
          <t>jitter_std</t>
        </is>
      </c>
      <c r="B15">
        <v>0.05</v>
      </c>
      <c r="C15" t="inlineStr">
        <is>
          <t>Standard deviation used by cohort acquisition noise.</t>
        </is>
      </c>
    </row>
    <row r="16">
      <c r="A16" t="inlineStr">
        <is>
          <t>dependency</t>
        </is>
      </c>
      <c r="B16" t="inlineStr">
        <is>
          <t>MAU cohort matrix on this sheet</t>
        </is>
      </c>
      <c r="C16" t="inlineStr">
        <is>
          <t>MAU is derived by summing active cohort contributions from the cohort matrix on this sheet.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</row>
    <row r="18">
      <c r="A18" t="inlineStr">
        <is>
          <t>month</t>
        </is>
      </c>
      <c r="B18" t="inlineStr">
        <is>
          <t>year_index</t>
        </is>
      </c>
      <c r="C18" t="inlineStr">
        <is>
          <t>phase</t>
        </is>
      </c>
      <c r="D18" t="inlineStr">
        <is>
          <t>new_users</t>
        </is>
      </c>
      <c r="E18" t="inlineStr">
        <is>
          <t>returning_users</t>
        </is>
      </c>
      <c r="F18" t="inlineStr">
        <is>
          <t>mau</t>
        </is>
      </c>
      <c r="G18" t="inlineStr">
        <is>
          <t/>
        </is>
      </c>
      <c r="H18" t="inlineStr">
        <is>
          <t>acquisition_growth_rate</t>
        </is>
      </c>
      <c r="I18" t="inlineStr">
        <is>
          <t>base_new_users</t>
        </is>
      </c>
      <c r="J18" t="inlineStr">
        <is>
          <t>seasonality_factor</t>
        </is>
      </c>
      <c r="K18" t="inlineStr">
        <is>
          <t>noise_acquisition</t>
        </is>
      </c>
      <c r="L18" t="inlineStr">
        <is>
          <t/>
        </is>
      </c>
      <c r="M18" t="inlineStr">
        <is>
          <t>user_retention_age</t>
        </is>
      </c>
      <c r="N18" t="inlineStr">
        <is>
          <t>user_retained_share</t>
        </is>
      </c>
      <c r="O18" t="inlineStr">
        <is>
          <t>2026-03-01</t>
        </is>
      </c>
      <c r="P18" t="inlineStr">
        <is>
          <t>2026-04-01</t>
        </is>
      </c>
      <c r="Q18" t="inlineStr">
        <is>
          <t>2026-05-01</t>
        </is>
      </c>
      <c r="R18" t="inlineStr">
        <is>
          <t>2026-06-01</t>
        </is>
      </c>
      <c r="S18" t="inlineStr">
        <is>
          <t>2026-07-01</t>
        </is>
      </c>
      <c r="T18" t="inlineStr">
        <is>
          <t>2026-08-01</t>
        </is>
      </c>
      <c r="U18" t="inlineStr">
        <is>
          <t>2026-09-01</t>
        </is>
      </c>
      <c r="V18" t="inlineStr">
        <is>
          <t>2026-10-01</t>
        </is>
      </c>
      <c r="W18" t="inlineStr">
        <is>
          <t>2026-11-01</t>
        </is>
      </c>
      <c r="X18" t="inlineStr">
        <is>
          <t>2026-12-01</t>
        </is>
      </c>
      <c r="Y18" t="inlineStr">
        <is>
          <t>2027-01-01</t>
        </is>
      </c>
      <c r="Z18" t="inlineStr">
        <is>
          <t>2027-02-01</t>
        </is>
      </c>
      <c r="AA18" t="inlineStr">
        <is>
          <t>2027-03-01</t>
        </is>
      </c>
      <c r="AB18" t="inlineStr">
        <is>
          <t>2027-04-01</t>
        </is>
      </c>
      <c r="AC18" t="inlineStr">
        <is>
          <t>2027-05-01</t>
        </is>
      </c>
      <c r="AD18" t="inlineStr">
        <is>
          <t>2027-06-01</t>
        </is>
      </c>
      <c r="AE18" t="inlineStr">
        <is>
          <t>2027-07-01</t>
        </is>
      </c>
      <c r="AF18" t="inlineStr">
        <is>
          <t>2027-08-01</t>
        </is>
      </c>
      <c r="AG18" t="inlineStr">
        <is>
          <t>2027-09-01</t>
        </is>
      </c>
      <c r="AH18" t="inlineStr">
        <is>
          <t>2027-10-01</t>
        </is>
      </c>
      <c r="AI18" t="inlineStr">
        <is>
          <t>2027-11-01</t>
        </is>
      </c>
      <c r="AJ18" t="inlineStr">
        <is>
          <t>2027-12-01</t>
        </is>
      </c>
      <c r="AK18" t="inlineStr">
        <is>
          <t>2028-01-01</t>
        </is>
      </c>
      <c r="AL18" t="inlineStr">
        <is>
          <t>2028-02-01</t>
        </is>
      </c>
      <c r="AM18" t="inlineStr">
        <is>
          <t>2028-03-01</t>
        </is>
      </c>
      <c r="AN18" t="inlineStr">
        <is>
          <t>2028-04-01</t>
        </is>
      </c>
      <c r="AO18" t="inlineStr">
        <is>
          <t>2028-05-01</t>
        </is>
      </c>
      <c r="AP18" t="inlineStr">
        <is>
          <t>2028-06-01</t>
        </is>
      </c>
      <c r="AQ18" t="inlineStr">
        <is>
          <t>2028-07-01</t>
        </is>
      </c>
      <c r="AR18" t="inlineStr">
        <is>
          <t>2028-08-01</t>
        </is>
      </c>
      <c r="AS18" t="inlineStr">
        <is>
          <t>2028-09-01</t>
        </is>
      </c>
      <c r="AT18" t="inlineStr">
        <is>
          <t>2028-10-01</t>
        </is>
      </c>
      <c r="AU18" t="inlineStr">
        <is>
          <t>2028-11-01</t>
        </is>
      </c>
      <c r="AV18" t="inlineStr">
        <is>
          <t>2028-12-01</t>
        </is>
      </c>
      <c r="AW18" t="inlineStr">
        <is>
          <t>2029-01-01</t>
        </is>
      </c>
      <c r="AX18" t="inlineStr">
        <is>
          <t>2029-02-01</t>
        </is>
      </c>
    </row>
    <row r="19">
      <c r="A19" t="inlineStr">
        <is>
          <t>2026-03-01</t>
        </is>
      </c>
      <c r="B19">
        <v>1</v>
      </c>
      <c r="C19" t="inlineStr">
        <is>
          <t>phase_1_user_growth</t>
        </is>
      </c>
      <c r="D19">
        <f>ROUND(MAX(100,I19*J19*K19),0)</f>
        <v>613</v>
      </c>
      <c r="E19">
        <f>MAX(0,F19-D19)</f>
        <v>0</v>
      </c>
      <c r="F19">
        <f>ROUND(SUM($O$19:$O$54),0)</f>
        <v>613</v>
      </c>
      <c r="G19" t="inlineStr">
        <is>
          <t/>
        </is>
      </c>
      <c r="H19">
        <f>IF($B19=1,$B$6,IF($B19=2,$B$7,$B$8))</f>
        <v>0.1</v>
      </c>
      <c r="I19">
        <f>$B$5</f>
        <v>700</v>
      </c>
      <c r="J19">
        <v>0.852079</v>
      </c>
      <c r="K19">
        <f>MAX(0.85,1+_xlfn.NORM.INV(RAND(),0,$B$15*0.35))</f>
        <v>1.028427</v>
      </c>
      <c r="L19" t="inlineStr">
        <is>
          <t/>
        </is>
      </c>
      <c r="M19">
        <v>0</v>
      </c>
      <c r="N19">
        <f>IF($M19=0,1,IF($M19=1,$B$11,IF($M19=2,$B$12,IF($M19=3,$B$13,$B$13*POWER($B$14,$M19-3)))))</f>
        <v>1</v>
      </c>
      <c r="O19">
        <f>ROUND(D19*INDEX($N$19:$N$54,1),0)</f>
        <v>613</v>
      </c>
      <c r="P19">
        <f>ROUND(D19*INDEX($N$19:$N$54,2),0)</f>
        <v>153</v>
      </c>
      <c r="Q19">
        <f>ROUND(D19*INDEX($N$19:$N$54,3),0)</f>
        <v>74</v>
      </c>
      <c r="R19">
        <f>ROUND(D19*INDEX($N$19:$N$54,4),0)</f>
        <v>31</v>
      </c>
      <c r="S19">
        <f>ROUND(D19*INDEX($N$19:$N$54,5),0)</f>
        <v>30</v>
      </c>
      <c r="T19">
        <f>ROUND(D19*INDEX($N$19:$N$54,6),0)</f>
        <v>29</v>
      </c>
      <c r="U19">
        <f>ROUND(D19*INDEX($N$19:$N$54,7),0)</f>
        <v>28</v>
      </c>
      <c r="V19">
        <f>ROUND(D19*INDEX($N$19:$N$54,8),0)</f>
        <v>27</v>
      </c>
      <c r="W19">
        <f>ROUND(D19*INDEX($N$19:$N$54,9),0)</f>
        <v>26</v>
      </c>
      <c r="X19">
        <f>ROUND(D19*INDEX($N$19:$N$54,10),0)</f>
        <v>26</v>
      </c>
      <c r="Y19">
        <f>ROUND(D19*INDEX($N$19:$N$54,11),0)</f>
        <v>25</v>
      </c>
      <c r="Z19">
        <f>ROUND(D19*INDEX($N$19:$N$54,12),0)</f>
        <v>24</v>
      </c>
      <c r="AA19">
        <f>ROUND(D19*INDEX($N$19:$N$54,13),0)</f>
        <v>23</v>
      </c>
      <c r="AB19">
        <f>ROUND(D19*INDEX($N$19:$N$54,14),0)</f>
        <v>23</v>
      </c>
      <c r="AC19">
        <f>ROUND(D19*INDEX($N$19:$N$54,15),0)</f>
        <v>22</v>
      </c>
      <c r="AD19">
        <f>ROUND(D19*INDEX($N$19:$N$54,16),0)</f>
        <v>21</v>
      </c>
      <c r="AE19">
        <f>ROUND(D19*INDEX($N$19:$N$54,17),0)</f>
        <v>21</v>
      </c>
      <c r="AF19">
        <f>ROUND(D19*INDEX($N$19:$N$54,18),0)</f>
        <v>20</v>
      </c>
      <c r="AG19">
        <f>ROUND(D19*INDEX($N$19:$N$54,19),0)</f>
        <v>19</v>
      </c>
      <c r="AH19">
        <f>ROUND(D19*INDEX($N$19:$N$54,20),0)</f>
        <v>19</v>
      </c>
      <c r="AI19">
        <f>ROUND(D19*INDEX($N$19:$N$54,21),0)</f>
        <v>18</v>
      </c>
      <c r="AJ19">
        <f>ROUND(D19*INDEX($N$19:$N$54,22),0)</f>
        <v>18</v>
      </c>
      <c r="AK19">
        <f>ROUND(D19*INDEX($N$19:$N$54,23),0)</f>
        <v>17</v>
      </c>
      <c r="AL19">
        <f>ROUND(D19*INDEX($N$19:$N$54,24),0)</f>
        <v>17</v>
      </c>
      <c r="AM19">
        <f>ROUND(D19*INDEX($N$19:$N$54,25),0)</f>
        <v>16</v>
      </c>
      <c r="AN19">
        <f>ROUND(D19*INDEX($N$19:$N$54,26),0)</f>
        <v>16</v>
      </c>
      <c r="AO19">
        <f>ROUND(D19*INDEX($N$19:$N$54,27),0)</f>
        <v>15</v>
      </c>
      <c r="AP19">
        <f>ROUND(D19*INDEX($N$19:$N$54,28),0)</f>
        <v>15</v>
      </c>
      <c r="AQ19">
        <f>ROUND(D19*INDEX($N$19:$N$54,29),0)</f>
        <v>14</v>
      </c>
      <c r="AR19">
        <f>ROUND(D19*INDEX($N$19:$N$54,30),0)</f>
        <v>14</v>
      </c>
      <c r="AS19">
        <f>ROUND(D19*INDEX($N$19:$N$54,31),0)</f>
        <v>13</v>
      </c>
      <c r="AT19">
        <f>ROUND(D19*INDEX($N$19:$N$54,32),0)</f>
        <v>13</v>
      </c>
      <c r="AU19">
        <f>ROUND(D19*INDEX($N$19:$N$54,33),0)</f>
        <v>13</v>
      </c>
      <c r="AV19">
        <f>ROUND(D19*INDEX($N$19:$N$54,34),0)</f>
        <v>12</v>
      </c>
      <c r="AW19">
        <f>ROUND(D19*INDEX($N$19:$N$54,35),0)</f>
        <v>12</v>
      </c>
      <c r="AX19">
        <f>ROUND(D19*INDEX($N$19:$N$54,36),0)</f>
        <v>12</v>
      </c>
    </row>
    <row r="20">
      <c r="A20" t="inlineStr">
        <is>
          <t>2026-04-01</t>
        </is>
      </c>
      <c r="B20">
        <v>1</v>
      </c>
      <c r="C20" t="inlineStr">
        <is>
          <t>phase_1_user_growth</t>
        </is>
      </c>
      <c r="D20">
        <f>ROUND(MAX(100,I20*J20*K20),0)</f>
        <v>637</v>
      </c>
      <c r="E20">
        <f>MAX(0,F20-D20)</f>
        <v>153</v>
      </c>
      <c r="F20">
        <f>ROUND(SUM($P$19:$P$54),0)</f>
        <v>790</v>
      </c>
      <c r="G20" t="inlineStr">
        <is>
          <t/>
        </is>
      </c>
      <c r="H20">
        <f>IF($B20=1,$B$6,IF($B20=2,$B$7,$B$8))</f>
        <v>0.1</v>
      </c>
      <c r="I20">
        <f>I19*(1+H20)</f>
        <v>770</v>
      </c>
      <c r="J20">
        <v>0.843513</v>
      </c>
      <c r="K20">
        <f>MAX(0.85,1+_xlfn.NORM.INV(RAND(),0,$B$15*0.35))</f>
        <v>0.981037</v>
      </c>
      <c r="L20" t="inlineStr">
        <is>
          <t/>
        </is>
      </c>
      <c r="M20">
        <v>1</v>
      </c>
      <c r="N20">
        <f>IF($M20=0,1,IF($M20=1,$B$11,IF($M20=2,$B$12,IF($M20=3,$B$13,$B$13*POWER($B$14,$M20-3)))))</f>
        <v>0.25</v>
      </c>
      <c r="O20" t="inlineStr">
        <is>
          <t/>
        </is>
      </c>
      <c r="P20">
        <f>ROUND(D20*INDEX($N$19:$N$54,1),0)</f>
        <v>637</v>
      </c>
      <c r="Q20">
        <f>ROUND(D20*INDEX($N$19:$N$54,2),0)</f>
        <v>159</v>
      </c>
      <c r="R20">
        <f>ROUND(D20*INDEX($N$19:$N$54,3),0)</f>
        <v>76</v>
      </c>
      <c r="S20">
        <f>ROUND(D20*INDEX($N$19:$N$54,4),0)</f>
        <v>32</v>
      </c>
      <c r="T20">
        <f>ROUND(D20*INDEX($N$19:$N$54,5),0)</f>
        <v>31</v>
      </c>
      <c r="U20">
        <f>ROUND(D20*INDEX($N$19:$N$54,6),0)</f>
        <v>30</v>
      </c>
      <c r="V20">
        <f>ROUND(D20*INDEX($N$19:$N$54,7),0)</f>
        <v>29</v>
      </c>
      <c r="W20">
        <f>ROUND(D20*INDEX($N$19:$N$54,8),0)</f>
        <v>28</v>
      </c>
      <c r="X20">
        <f>ROUND(D20*INDEX($N$19:$N$54,9),0)</f>
        <v>27</v>
      </c>
      <c r="Y20">
        <f>ROUND(D20*INDEX($N$19:$N$54,10),0)</f>
        <v>27</v>
      </c>
      <c r="Z20">
        <f>ROUND(D20*INDEX($N$19:$N$54,11),0)</f>
        <v>26</v>
      </c>
      <c r="AA20">
        <f>ROUND(D20*INDEX($N$19:$N$54,12),0)</f>
        <v>25</v>
      </c>
      <c r="AB20">
        <f>ROUND(D20*INDEX($N$19:$N$54,13),0)</f>
        <v>24</v>
      </c>
      <c r="AC20">
        <f>ROUND(D20*INDEX($N$19:$N$54,14),0)</f>
        <v>23</v>
      </c>
      <c r="AD20">
        <f>ROUND(D20*INDEX($N$19:$N$54,15),0)</f>
        <v>23</v>
      </c>
      <c r="AE20">
        <f>ROUND(D20*INDEX($N$19:$N$54,16),0)</f>
        <v>22</v>
      </c>
      <c r="AF20">
        <f>ROUND(D20*INDEX($N$19:$N$54,17),0)</f>
        <v>21</v>
      </c>
      <c r="AG20">
        <f>ROUND(D20*INDEX($N$19:$N$54,18),0)</f>
        <v>21</v>
      </c>
      <c r="AH20">
        <f>ROUND(D20*INDEX($N$19:$N$54,19),0)</f>
        <v>20</v>
      </c>
      <c r="AI20">
        <f>ROUND(D20*INDEX($N$19:$N$54,20),0)</f>
        <v>20</v>
      </c>
      <c r="AJ20">
        <f>ROUND(D20*INDEX($N$19:$N$54,21),0)</f>
        <v>19</v>
      </c>
      <c r="AK20">
        <f>ROUND(D20*INDEX($N$19:$N$54,22),0)</f>
        <v>18</v>
      </c>
      <c r="AL20">
        <f>ROUND(D20*INDEX($N$19:$N$54,23),0)</f>
        <v>18</v>
      </c>
      <c r="AM20">
        <f>ROUND(D20*INDEX($N$19:$N$54,24),0)</f>
        <v>17</v>
      </c>
      <c r="AN20">
        <f>ROUND(D20*INDEX($N$19:$N$54,25),0)</f>
        <v>17</v>
      </c>
      <c r="AO20">
        <f>ROUND(D20*INDEX($N$19:$N$54,26),0)</f>
        <v>16</v>
      </c>
      <c r="AP20">
        <f>ROUND(D20*INDEX($N$19:$N$54,27),0)</f>
        <v>16</v>
      </c>
      <c r="AQ20">
        <f>ROUND(D20*INDEX($N$19:$N$54,28),0)</f>
        <v>15</v>
      </c>
      <c r="AR20">
        <f>ROUND(D20*INDEX($N$19:$N$54,29),0)</f>
        <v>15</v>
      </c>
      <c r="AS20">
        <f>ROUND(D20*INDEX($N$19:$N$54,30),0)</f>
        <v>14</v>
      </c>
      <c r="AT20">
        <f>ROUND(D20*INDEX($N$19:$N$54,31),0)</f>
        <v>14</v>
      </c>
      <c r="AU20">
        <f>ROUND(D20*INDEX($N$19:$N$54,32),0)</f>
        <v>14</v>
      </c>
      <c r="AV20">
        <f>ROUND(D20*INDEX($N$19:$N$54,33),0)</f>
        <v>13</v>
      </c>
      <c r="AW20">
        <f>ROUND(D20*INDEX($N$19:$N$54,34),0)</f>
        <v>13</v>
      </c>
      <c r="AX20">
        <f>ROUND(D20*INDEX($N$19:$N$54,35),0)</f>
        <v>12</v>
      </c>
    </row>
    <row r="21">
      <c r="A21" t="inlineStr">
        <is>
          <t>2026-05-01</t>
        </is>
      </c>
      <c r="B21">
        <v>1</v>
      </c>
      <c r="C21" t="inlineStr">
        <is>
          <t>phase_1_user_growth</t>
        </is>
      </c>
      <c r="D21">
        <f>ROUND(MAX(100,I21*J21*K21),0)</f>
        <v>868</v>
      </c>
      <c r="E21">
        <f>MAX(0,F21-D21)</f>
        <v>233</v>
      </c>
      <c r="F21">
        <f>ROUND(SUM($Q$19:$Q$54),0)</f>
        <v>1101</v>
      </c>
      <c r="G21" t="inlineStr">
        <is>
          <t/>
        </is>
      </c>
      <c r="H21">
        <f>IF($B21=1,$B$6,IF($B21=2,$B$7,$B$8))</f>
        <v>0.1</v>
      </c>
      <c r="I21">
        <f>I20*(1+H21)</f>
        <v>847</v>
      </c>
      <c r="J21">
        <v>1.01307</v>
      </c>
      <c r="K21">
        <f>MAX(0.85,1+_xlfn.NORM.INV(RAND(),0,$B$15*0.35))</f>
        <v>1.012013</v>
      </c>
      <c r="L21" t="inlineStr">
        <is>
          <t/>
        </is>
      </c>
      <c r="M21">
        <v>2</v>
      </c>
      <c r="N21">
        <f>IF($M21=0,1,IF($M21=1,$B$11,IF($M21=2,$B$12,IF($M21=3,$B$13,$B$13*POWER($B$14,$M21-3)))))</f>
        <v>0.12</v>
      </c>
      <c r="O21" t="inlineStr">
        <is>
          <t/>
        </is>
      </c>
      <c r="P21" t="inlineStr">
        <is>
          <t/>
        </is>
      </c>
      <c r="Q21">
        <f>ROUND(D21*INDEX($N$19:$N$54,1),0)</f>
        <v>868</v>
      </c>
      <c r="R21">
        <f>ROUND(D21*INDEX($N$19:$N$54,2),0)</f>
        <v>217</v>
      </c>
      <c r="S21">
        <f>ROUND(D21*INDEX($N$19:$N$54,3),0)</f>
        <v>104</v>
      </c>
      <c r="T21">
        <f>ROUND(D21*INDEX($N$19:$N$54,4),0)</f>
        <v>43</v>
      </c>
      <c r="U21">
        <f>ROUND(D21*INDEX($N$19:$N$54,5),0)</f>
        <v>42</v>
      </c>
      <c r="V21">
        <f>ROUND(D21*INDEX($N$19:$N$54,6),0)</f>
        <v>41</v>
      </c>
      <c r="W21">
        <f>ROUND(D21*INDEX($N$19:$N$54,7),0)</f>
        <v>40</v>
      </c>
      <c r="X21">
        <f>ROUND(D21*INDEX($N$19:$N$54,8),0)</f>
        <v>38</v>
      </c>
      <c r="Y21">
        <f>ROUND(D21*INDEX($N$19:$N$54,9),0)</f>
        <v>37</v>
      </c>
      <c r="Z21">
        <f>ROUND(D21*INDEX($N$19:$N$54,10),0)</f>
        <v>36</v>
      </c>
      <c r="AA21">
        <f>ROUND(D21*INDEX($N$19:$N$54,11),0)</f>
        <v>35</v>
      </c>
      <c r="AB21">
        <f>ROUND(D21*INDEX($N$19:$N$54,12),0)</f>
        <v>34</v>
      </c>
      <c r="AC21">
        <f>ROUND(D21*INDEX($N$19:$N$54,13),0)</f>
        <v>33</v>
      </c>
      <c r="AD21">
        <f>ROUND(D21*INDEX($N$19:$N$54,14),0)</f>
        <v>32</v>
      </c>
      <c r="AE21">
        <f>ROUND(D21*INDEX($N$19:$N$54,15),0)</f>
        <v>31</v>
      </c>
      <c r="AF21">
        <f>ROUND(D21*INDEX($N$19:$N$54,16),0)</f>
        <v>30</v>
      </c>
      <c r="AG21">
        <f>ROUND(D21*INDEX($N$19:$N$54,17),0)</f>
        <v>29</v>
      </c>
      <c r="AH21">
        <f>ROUND(D21*INDEX($N$19:$N$54,18),0)</f>
        <v>28</v>
      </c>
      <c r="AI21">
        <f>ROUND(D21*INDEX($N$19:$N$54,19),0)</f>
        <v>27</v>
      </c>
      <c r="AJ21">
        <f>ROUND(D21*INDEX($N$19:$N$54,20),0)</f>
        <v>27</v>
      </c>
      <c r="AK21">
        <f>ROUND(D21*INDEX($N$19:$N$54,21),0)</f>
        <v>26</v>
      </c>
      <c r="AL21">
        <f>ROUND(D21*INDEX($N$19:$N$54,22),0)</f>
        <v>25</v>
      </c>
      <c r="AM21">
        <f>ROUND(D21*INDEX($N$19:$N$54,23),0)</f>
        <v>24</v>
      </c>
      <c r="AN21">
        <f>ROUND(D21*INDEX($N$19:$N$54,24),0)</f>
        <v>24</v>
      </c>
      <c r="AO21">
        <f>ROUND(D21*INDEX($N$19:$N$54,25),0)</f>
        <v>23</v>
      </c>
      <c r="AP21">
        <f>ROUND(D21*INDEX($N$19:$N$54,26),0)</f>
        <v>22</v>
      </c>
      <c r="AQ21">
        <f>ROUND(D21*INDEX($N$19:$N$54,27),0)</f>
        <v>22</v>
      </c>
      <c r="AR21">
        <f>ROUND(D21*INDEX($N$19:$N$54,28),0)</f>
        <v>21</v>
      </c>
      <c r="AS21">
        <f>ROUND(D21*INDEX($N$19:$N$54,29),0)</f>
        <v>20</v>
      </c>
      <c r="AT21">
        <f>ROUND(D21*INDEX($N$19:$N$54,30),0)</f>
        <v>20</v>
      </c>
      <c r="AU21">
        <f>ROUND(D21*INDEX($N$19:$N$54,31),0)</f>
        <v>19</v>
      </c>
      <c r="AV21">
        <f>ROUND(D21*INDEX($N$19:$N$54,32),0)</f>
        <v>18</v>
      </c>
      <c r="AW21">
        <f>ROUND(D21*INDEX($N$19:$N$54,33),0)</f>
        <v>18</v>
      </c>
      <c r="AX21">
        <f>ROUND(D21*INDEX($N$19:$N$54,34),0)</f>
        <v>17</v>
      </c>
    </row>
    <row r="22">
      <c r="A22" t="inlineStr">
        <is>
          <t>2026-06-01</t>
        </is>
      </c>
      <c r="B22">
        <v>1</v>
      </c>
      <c r="C22" t="inlineStr">
        <is>
          <t>phase_1_user_growth</t>
        </is>
      </c>
      <c r="D22">
        <f>ROUND(MAX(100,I22*J22*K22),0)</f>
        <v>847</v>
      </c>
      <c r="E22">
        <f>MAX(0,F22-D22)</f>
        <v>324</v>
      </c>
      <c r="F22">
        <f>ROUND(SUM($R$19:$R$54),0)</f>
        <v>1171</v>
      </c>
      <c r="G22" t="inlineStr">
        <is>
          <t/>
        </is>
      </c>
      <c r="H22">
        <f>IF($B22=1,$B$6,IF($B22=2,$B$7,$B$8))</f>
        <v>0.1</v>
      </c>
      <c r="I22">
        <f>I21*(1+H22)</f>
        <v>931.7</v>
      </c>
      <c r="J22">
        <v>0.906254</v>
      </c>
      <c r="K22">
        <f>MAX(0.85,1+_xlfn.NORM.INV(RAND(),0,$B$15*0.35))</f>
        <v>1.003557</v>
      </c>
      <c r="L22" t="inlineStr">
        <is>
          <t/>
        </is>
      </c>
      <c r="M22">
        <v>3</v>
      </c>
      <c r="N22">
        <f>IF($M22=0,1,IF($M22=1,$B$11,IF($M22=2,$B$12,IF($M22=3,$B$13,$B$13*POWER($B$14,$M22-3)))))</f>
        <v>0.05</v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>
        <f>ROUND(D22*INDEX($N$19:$N$54,1),0)</f>
        <v>847</v>
      </c>
      <c r="S22">
        <f>ROUND(D22*INDEX($N$19:$N$54,2),0)</f>
        <v>212</v>
      </c>
      <c r="T22">
        <f>ROUND(D22*INDEX($N$19:$N$54,3),0)</f>
        <v>102</v>
      </c>
      <c r="U22">
        <f>ROUND(D22*INDEX($N$19:$N$54,4),0)</f>
        <v>42</v>
      </c>
      <c r="V22">
        <f>ROUND(D22*INDEX($N$19:$N$54,5),0)</f>
        <v>41</v>
      </c>
      <c r="W22">
        <f>ROUND(D22*INDEX($N$19:$N$54,6),0)</f>
        <v>40</v>
      </c>
      <c r="X22">
        <f>ROUND(D22*INDEX($N$19:$N$54,7),0)</f>
        <v>39</v>
      </c>
      <c r="Y22">
        <f>ROUND(D22*INDEX($N$19:$N$54,8),0)</f>
        <v>37</v>
      </c>
      <c r="Z22">
        <f>ROUND(D22*INDEX($N$19:$N$54,9),0)</f>
        <v>36</v>
      </c>
      <c r="AA22">
        <f>ROUND(D22*INDEX($N$19:$N$54,10),0)</f>
        <v>35</v>
      </c>
      <c r="AB22">
        <f>ROUND(D22*INDEX($N$19:$N$54,11),0)</f>
        <v>34</v>
      </c>
      <c r="AC22">
        <f>ROUND(D22*INDEX($N$19:$N$54,12),0)</f>
        <v>33</v>
      </c>
      <c r="AD22">
        <f>ROUND(D22*INDEX($N$19:$N$54,13),0)</f>
        <v>32</v>
      </c>
      <c r="AE22">
        <f>ROUND(D22*INDEX($N$19:$N$54,14),0)</f>
        <v>31</v>
      </c>
      <c r="AF22">
        <f>ROUND(D22*INDEX($N$19:$N$54,15),0)</f>
        <v>30</v>
      </c>
      <c r="AG22">
        <f>ROUND(D22*INDEX($N$19:$N$54,16),0)</f>
        <v>29</v>
      </c>
      <c r="AH22">
        <f>ROUND(D22*INDEX($N$19:$N$54,17),0)</f>
        <v>29</v>
      </c>
      <c r="AI22">
        <f>ROUND(D22*INDEX($N$19:$N$54,18),0)</f>
        <v>28</v>
      </c>
      <c r="AJ22">
        <f>ROUND(D22*INDEX($N$19:$N$54,19),0)</f>
        <v>27</v>
      </c>
      <c r="AK22">
        <f>ROUND(D22*INDEX($N$19:$N$54,20),0)</f>
        <v>26</v>
      </c>
      <c r="AL22">
        <f>ROUND(D22*INDEX($N$19:$N$54,21),0)</f>
        <v>25</v>
      </c>
      <c r="AM22">
        <f>ROUND(D22*INDEX($N$19:$N$54,22),0)</f>
        <v>24</v>
      </c>
      <c r="AN22">
        <f>ROUND(D22*INDEX($N$19:$N$54,23),0)</f>
        <v>24</v>
      </c>
      <c r="AO22">
        <f>ROUND(D22*INDEX($N$19:$N$54,24),0)</f>
        <v>23</v>
      </c>
      <c r="AP22">
        <f>ROUND(D22*INDEX($N$19:$N$54,25),0)</f>
        <v>22</v>
      </c>
      <c r="AQ22">
        <f>ROUND(D22*INDEX($N$19:$N$54,26),0)</f>
        <v>22</v>
      </c>
      <c r="AR22">
        <f>ROUND(D22*INDEX($N$19:$N$54,27),0)</f>
        <v>21</v>
      </c>
      <c r="AS22">
        <f>ROUND(D22*INDEX($N$19:$N$54,28),0)</f>
        <v>20</v>
      </c>
      <c r="AT22">
        <f>ROUND(D22*INDEX($N$19:$N$54,29),0)</f>
        <v>20</v>
      </c>
      <c r="AU22">
        <f>ROUND(D22*INDEX($N$19:$N$54,30),0)</f>
        <v>19</v>
      </c>
      <c r="AV22">
        <f>ROUND(D22*INDEX($N$19:$N$54,31),0)</f>
        <v>19</v>
      </c>
      <c r="AW22">
        <f>ROUND(D22*INDEX($N$19:$N$54,32),0)</f>
        <v>18</v>
      </c>
      <c r="AX22">
        <f>ROUND(D22*INDEX($N$19:$N$54,33),0)</f>
        <v>18</v>
      </c>
    </row>
    <row r="23">
      <c r="A23" t="inlineStr">
        <is>
          <t>2026-07-01</t>
        </is>
      </c>
      <c r="B23">
        <v>1</v>
      </c>
      <c r="C23" t="inlineStr">
        <is>
          <t>phase_1_user_growth</t>
        </is>
      </c>
      <c r="D23">
        <f>ROUND(MAX(100,I23*J23*K23),0)</f>
        <v>915</v>
      </c>
      <c r="E23">
        <f>MAX(0,F23-D23)</f>
        <v>378</v>
      </c>
      <c r="F23">
        <f>ROUND(SUM($S$19:$S$54),0)</f>
        <v>1293</v>
      </c>
      <c r="G23" t="inlineStr">
        <is>
          <t/>
        </is>
      </c>
      <c r="H23">
        <f>IF($B23=1,$B$6,IF($B23=2,$B$7,$B$8))</f>
        <v>0.1</v>
      </c>
      <c r="I23">
        <f>I22*(1+H23)</f>
        <v>1024.87</v>
      </c>
      <c r="J23">
        <v>0.891844</v>
      </c>
      <c r="K23">
        <f>MAX(0.85,1+_xlfn.NORM.INV(RAND(),0,$B$15*0.35))</f>
        <v>1.000979</v>
      </c>
      <c r="L23" t="inlineStr">
        <is>
          <t/>
        </is>
      </c>
      <c r="M23">
        <v>4</v>
      </c>
      <c r="N23">
        <f>IF($M23=0,1,IF($M23=1,$B$11,IF($M23=2,$B$12,IF($M23=3,$B$13,$B$13*POWER($B$14,$M23-3)))))</f>
        <v>0.0485</v>
      </c>
      <c r="O23" t="inlineStr">
        <is>
          <t/>
        </is>
      </c>
      <c r="P23" t="inlineStr">
        <is>
          <t/>
        </is>
      </c>
      <c r="Q23" t="inlineStr">
        <is>
          <t/>
        </is>
      </c>
      <c r="R23" t="inlineStr">
        <is>
          <t/>
        </is>
      </c>
      <c r="S23">
        <f>ROUND(D23*INDEX($N$19:$N$54,1),0)</f>
        <v>915</v>
      </c>
      <c r="T23">
        <f>ROUND(D23*INDEX($N$19:$N$54,2),0)</f>
        <v>229</v>
      </c>
      <c r="U23">
        <f>ROUND(D23*INDEX($N$19:$N$54,3),0)</f>
        <v>110</v>
      </c>
      <c r="V23">
        <f>ROUND(D23*INDEX($N$19:$N$54,4),0)</f>
        <v>46</v>
      </c>
      <c r="W23">
        <f>ROUND(D23*INDEX($N$19:$N$54,5),0)</f>
        <v>44</v>
      </c>
      <c r="X23">
        <f>ROUND(D23*INDEX($N$19:$N$54,6),0)</f>
        <v>43</v>
      </c>
      <c r="Y23">
        <f>ROUND(D23*INDEX($N$19:$N$54,7),0)</f>
        <v>42</v>
      </c>
      <c r="Z23">
        <f>ROUND(D23*INDEX($N$19:$N$54,8),0)</f>
        <v>41</v>
      </c>
      <c r="AA23">
        <f>ROUND(D23*INDEX($N$19:$N$54,9),0)</f>
        <v>39</v>
      </c>
      <c r="AB23">
        <f>ROUND(D23*INDEX($N$19:$N$54,10),0)</f>
        <v>38</v>
      </c>
      <c r="AC23">
        <f>ROUND(D23*INDEX($N$19:$N$54,11),0)</f>
        <v>37</v>
      </c>
      <c r="AD23">
        <f>ROUND(D23*INDEX($N$19:$N$54,12),0)</f>
        <v>36</v>
      </c>
      <c r="AE23">
        <f>ROUND(D23*INDEX($N$19:$N$54,13),0)</f>
        <v>35</v>
      </c>
      <c r="AF23">
        <f>ROUND(D23*INDEX($N$19:$N$54,14),0)</f>
        <v>34</v>
      </c>
      <c r="AG23">
        <f>ROUND(D23*INDEX($N$19:$N$54,15),0)</f>
        <v>33</v>
      </c>
      <c r="AH23">
        <f>ROUND(D23*INDEX($N$19:$N$54,16),0)</f>
        <v>32</v>
      </c>
      <c r="AI23">
        <f>ROUND(D23*INDEX($N$19:$N$54,17),0)</f>
        <v>31</v>
      </c>
      <c r="AJ23">
        <f>ROUND(D23*INDEX($N$19:$N$54,18),0)</f>
        <v>30</v>
      </c>
      <c r="AK23">
        <f>ROUND(D23*INDEX($N$19:$N$54,19),0)</f>
        <v>29</v>
      </c>
      <c r="AL23">
        <f>ROUND(D23*INDEX($N$19:$N$54,20),0)</f>
        <v>28</v>
      </c>
      <c r="AM23">
        <f>ROUND(D23*INDEX($N$19:$N$54,21),0)</f>
        <v>27</v>
      </c>
      <c r="AN23">
        <f>ROUND(D23*INDEX($N$19:$N$54,22),0)</f>
        <v>26</v>
      </c>
      <c r="AO23">
        <f>ROUND(D23*INDEX($N$19:$N$54,23),0)</f>
        <v>26</v>
      </c>
      <c r="AP23">
        <f>ROUND(D23*INDEX($N$19:$N$54,24),0)</f>
        <v>25</v>
      </c>
      <c r="AQ23">
        <f>ROUND(D23*INDEX($N$19:$N$54,25),0)</f>
        <v>24</v>
      </c>
      <c r="AR23">
        <f>ROUND(D23*INDEX($N$19:$N$54,26),0)</f>
        <v>23</v>
      </c>
      <c r="AS23">
        <f>ROUND(D23*INDEX($N$19:$N$54,27),0)</f>
        <v>23</v>
      </c>
      <c r="AT23">
        <f>ROUND(D23*INDEX($N$19:$N$54,28),0)</f>
        <v>22</v>
      </c>
      <c r="AU23">
        <f>ROUND(D23*INDEX($N$19:$N$54,29),0)</f>
        <v>21</v>
      </c>
      <c r="AV23">
        <f>ROUND(D23*INDEX($N$19:$N$54,30),0)</f>
        <v>21</v>
      </c>
      <c r="AW23">
        <f>ROUND(D23*INDEX($N$19:$N$54,31),0)</f>
        <v>20</v>
      </c>
      <c r="AX23">
        <f>ROUND(D23*INDEX($N$19:$N$54,32),0)</f>
        <v>19</v>
      </c>
    </row>
    <row r="24">
      <c r="A24" t="inlineStr">
        <is>
          <t>2026-08-01</t>
        </is>
      </c>
      <c r="B24">
        <v>1</v>
      </c>
      <c r="C24" t="inlineStr">
        <is>
          <t>phase_1_user_growth</t>
        </is>
      </c>
      <c r="D24">
        <f>ROUND(MAX(100,I24*J24*K24),0)</f>
        <v>1069</v>
      </c>
      <c r="E24">
        <f>MAX(0,F24-D24)</f>
        <v>434</v>
      </c>
      <c r="F24">
        <f>ROUND(SUM($T$19:$T$54),0)</f>
        <v>1503</v>
      </c>
      <c r="G24" t="inlineStr">
        <is>
          <t/>
        </is>
      </c>
      <c r="H24">
        <f>IF($B24=1,$B$6,IF($B24=2,$B$7,$B$8))</f>
        <v>0.1</v>
      </c>
      <c r="I24">
        <f>I23*(1+H24)</f>
        <v>1127.36</v>
      </c>
      <c r="J24">
        <v>0.921643</v>
      </c>
      <c r="K24">
        <f>MAX(0.85,1+_xlfn.NORM.INV(RAND(),0,$B$15*0.35))</f>
        <v>1.028426</v>
      </c>
      <c r="L24" t="inlineStr">
        <is>
          <t/>
        </is>
      </c>
      <c r="M24">
        <v>5</v>
      </c>
      <c r="N24">
        <f>IF($M24=0,1,IF($M24=1,$B$11,IF($M24=2,$B$12,IF($M24=3,$B$13,$B$13*POWER($B$14,$M24-3)))))</f>
        <v>0.047045</v>
      </c>
      <c r="O24" t="inlineStr">
        <is>
          <t/>
        </is>
      </c>
      <c r="P24" t="inlineStr">
        <is>
          <t/>
        </is>
      </c>
      <c r="Q24" t="inlineStr">
        <is>
          <t/>
        </is>
      </c>
      <c r="R24" t="inlineStr">
        <is>
          <t/>
        </is>
      </c>
      <c r="S24" t="inlineStr">
        <is>
          <t/>
        </is>
      </c>
      <c r="T24">
        <f>ROUND(D24*INDEX($N$19:$N$54,1),0)</f>
        <v>1069</v>
      </c>
      <c r="U24">
        <f>ROUND(D24*INDEX($N$19:$N$54,2),0)</f>
        <v>267</v>
      </c>
      <c r="V24">
        <f>ROUND(D24*INDEX($N$19:$N$54,3),0)</f>
        <v>128</v>
      </c>
      <c r="W24">
        <f>ROUND(D24*INDEX($N$19:$N$54,4),0)</f>
        <v>53</v>
      </c>
      <c r="X24">
        <f>ROUND(D24*INDEX($N$19:$N$54,5),0)</f>
        <v>52</v>
      </c>
      <c r="Y24">
        <f>ROUND(D24*INDEX($N$19:$N$54,6),0)</f>
        <v>50</v>
      </c>
      <c r="Z24">
        <f>ROUND(D24*INDEX($N$19:$N$54,7),0)</f>
        <v>49</v>
      </c>
      <c r="AA24">
        <f>ROUND(D24*INDEX($N$19:$N$54,8),0)</f>
        <v>47</v>
      </c>
      <c r="AB24">
        <f>ROUND(D24*INDEX($N$19:$N$54,9),0)</f>
        <v>46</v>
      </c>
      <c r="AC24">
        <f>ROUND(D24*INDEX($N$19:$N$54,10),0)</f>
        <v>45</v>
      </c>
      <c r="AD24">
        <f>ROUND(D24*INDEX($N$19:$N$54,11),0)</f>
        <v>43</v>
      </c>
      <c r="AE24">
        <f>ROUND(D24*INDEX($N$19:$N$54,12),0)</f>
        <v>42</v>
      </c>
      <c r="AF24">
        <f>ROUND(D24*INDEX($N$19:$N$54,13),0)</f>
        <v>41</v>
      </c>
      <c r="AG24">
        <f>ROUND(D24*INDEX($N$19:$N$54,14),0)</f>
        <v>39</v>
      </c>
      <c r="AH24">
        <f>ROUND(D24*INDEX($N$19:$N$54,15),0)</f>
        <v>38</v>
      </c>
      <c r="AI24">
        <f>ROUND(D24*INDEX($N$19:$N$54,16),0)</f>
        <v>37</v>
      </c>
      <c r="AJ24">
        <f>ROUND(D24*INDEX($N$19:$N$54,17),0)</f>
        <v>36</v>
      </c>
      <c r="AK24">
        <f>ROUND(D24*INDEX($N$19:$N$54,18),0)</f>
        <v>35</v>
      </c>
      <c r="AL24">
        <f>ROUND(D24*INDEX($N$19:$N$54,19),0)</f>
        <v>34</v>
      </c>
      <c r="AM24">
        <f>ROUND(D24*INDEX($N$19:$N$54,20),0)</f>
        <v>33</v>
      </c>
      <c r="AN24">
        <f>ROUND(D24*INDEX($N$19:$N$54,21),0)</f>
        <v>32</v>
      </c>
      <c r="AO24">
        <f>ROUND(D24*INDEX($N$19:$N$54,22),0)</f>
        <v>31</v>
      </c>
      <c r="AP24">
        <f>ROUND(D24*INDEX($N$19:$N$54,23),0)</f>
        <v>30</v>
      </c>
      <c r="AQ24">
        <f>ROUND(D24*INDEX($N$19:$N$54,24),0)</f>
        <v>29</v>
      </c>
      <c r="AR24">
        <f>ROUND(D24*INDEX($N$19:$N$54,25),0)</f>
        <v>28</v>
      </c>
      <c r="AS24">
        <f>ROUND(D24*INDEX($N$19:$N$54,26),0)</f>
        <v>27</v>
      </c>
      <c r="AT24">
        <f>ROUND(D24*INDEX($N$19:$N$54,27),0)</f>
        <v>27</v>
      </c>
      <c r="AU24">
        <f>ROUND(D24*INDEX($N$19:$N$54,28),0)</f>
        <v>26</v>
      </c>
      <c r="AV24">
        <f>ROUND(D24*INDEX($N$19:$N$54,29),0)</f>
        <v>25</v>
      </c>
      <c r="AW24">
        <f>ROUND(D24*INDEX($N$19:$N$54,30),0)</f>
        <v>24</v>
      </c>
      <c r="AX24">
        <f>ROUND(D24*INDEX($N$19:$N$54,31),0)</f>
        <v>23</v>
      </c>
    </row>
    <row r="25">
      <c r="A25" t="inlineStr">
        <is>
          <t>2026-09-01</t>
        </is>
      </c>
      <c r="B25">
        <v>1</v>
      </c>
      <c r="C25" t="inlineStr">
        <is>
          <t>phase_1_user_growth</t>
        </is>
      </c>
      <c r="D25">
        <f>ROUND(MAX(100,I25*J25*K25),0)</f>
        <v>1074</v>
      </c>
      <c r="E25">
        <f>MAX(0,F25-D25)</f>
        <v>519</v>
      </c>
      <c r="F25">
        <f>ROUND(SUM($U$19:$U$54),0)</f>
        <v>1593</v>
      </c>
      <c r="G25" t="inlineStr">
        <is>
          <t/>
        </is>
      </c>
      <c r="H25">
        <f>IF($B25=1,$B$6,IF($B25=2,$B$7,$B$8))</f>
        <v>0.1</v>
      </c>
      <c r="I25">
        <f>I24*(1+H25)</f>
        <v>1240.09</v>
      </c>
      <c r="J25">
        <v>0.885988</v>
      </c>
      <c r="K25">
        <f>MAX(0.85,1+_xlfn.NORM.INV(RAND(),0,$B$15*0.35))</f>
        <v>0.977212</v>
      </c>
      <c r="L25" t="inlineStr">
        <is>
          <t/>
        </is>
      </c>
      <c r="M25">
        <v>6</v>
      </c>
      <c r="N25">
        <f>IF($M25=0,1,IF($M25=1,$B$11,IF($M25=2,$B$12,IF($M25=3,$B$13,$B$13*POWER($B$14,$M25-3)))))</f>
        <v>0.04563365</v>
      </c>
      <c r="O25" t="inlineStr">
        <is>
          <t/>
        </is>
      </c>
      <c r="P25" t="inlineStr">
        <is>
          <t/>
        </is>
      </c>
      <c r="Q25" t="inlineStr">
        <is>
          <t/>
        </is>
      </c>
      <c r="R25" t="inlineStr">
        <is>
          <t/>
        </is>
      </c>
      <c r="S25" t="inlineStr">
        <is>
          <t/>
        </is>
      </c>
      <c r="T25" t="inlineStr">
        <is>
          <t/>
        </is>
      </c>
      <c r="U25">
        <f>ROUND(D25*INDEX($N$19:$N$54,1),0)</f>
        <v>1074</v>
      </c>
      <c r="V25">
        <f>ROUND(D25*INDEX($N$19:$N$54,2),0)</f>
        <v>268</v>
      </c>
      <c r="W25">
        <f>ROUND(D25*INDEX($N$19:$N$54,3),0)</f>
        <v>129</v>
      </c>
      <c r="X25">
        <f>ROUND(D25*INDEX($N$19:$N$54,4),0)</f>
        <v>54</v>
      </c>
      <c r="Y25">
        <f>ROUND(D25*INDEX($N$19:$N$54,5),0)</f>
        <v>52</v>
      </c>
      <c r="Z25">
        <f>ROUND(D25*INDEX($N$19:$N$54,6),0)</f>
        <v>51</v>
      </c>
      <c r="AA25">
        <f>ROUND(D25*INDEX($N$19:$N$54,7),0)</f>
        <v>49</v>
      </c>
      <c r="AB25">
        <f>ROUND(D25*INDEX($N$19:$N$54,8),0)</f>
        <v>48</v>
      </c>
      <c r="AC25">
        <f>ROUND(D25*INDEX($N$19:$N$54,9),0)</f>
        <v>46</v>
      </c>
      <c r="AD25">
        <f>ROUND(D25*INDEX($N$19:$N$54,10),0)</f>
        <v>45</v>
      </c>
      <c r="AE25">
        <f>ROUND(D25*INDEX($N$19:$N$54,11),0)</f>
        <v>43</v>
      </c>
      <c r="AF25">
        <f>ROUND(D25*INDEX($N$19:$N$54,12),0)</f>
        <v>42</v>
      </c>
      <c r="AG25">
        <f>ROUND(D25*INDEX($N$19:$N$54,13),0)</f>
        <v>41</v>
      </c>
      <c r="AH25">
        <f>ROUND(D25*INDEX($N$19:$N$54,14),0)</f>
        <v>40</v>
      </c>
      <c r="AI25">
        <f>ROUND(D25*INDEX($N$19:$N$54,15),0)</f>
        <v>38</v>
      </c>
      <c r="AJ25">
        <f>ROUND(D25*INDEX($N$19:$N$54,16),0)</f>
        <v>37</v>
      </c>
      <c r="AK25">
        <f>ROUND(D25*INDEX($N$19:$N$54,17),0)</f>
        <v>36</v>
      </c>
      <c r="AL25">
        <f>ROUND(D25*INDEX($N$19:$N$54,18),0)</f>
        <v>35</v>
      </c>
      <c r="AM25">
        <f>ROUND(D25*INDEX($N$19:$N$54,19),0)</f>
        <v>34</v>
      </c>
      <c r="AN25">
        <f>ROUND(D25*INDEX($N$19:$N$54,20),0)</f>
        <v>33</v>
      </c>
      <c r="AO25">
        <f>ROUND(D25*INDEX($N$19:$N$54,21),0)</f>
        <v>32</v>
      </c>
      <c r="AP25">
        <f>ROUND(D25*INDEX($N$19:$N$54,22),0)</f>
        <v>31</v>
      </c>
      <c r="AQ25">
        <f>ROUND(D25*INDEX($N$19:$N$54,23),0)</f>
        <v>30</v>
      </c>
      <c r="AR25">
        <f>ROUND(D25*INDEX($N$19:$N$54,24),0)</f>
        <v>29</v>
      </c>
      <c r="AS25">
        <f>ROUND(D25*INDEX($N$19:$N$54,25),0)</f>
        <v>28</v>
      </c>
      <c r="AT25">
        <f>ROUND(D25*INDEX($N$19:$N$54,26),0)</f>
        <v>27</v>
      </c>
      <c r="AU25">
        <f>ROUND(D25*INDEX($N$19:$N$54,27),0)</f>
        <v>27</v>
      </c>
      <c r="AV25">
        <f>ROUND(D25*INDEX($N$19:$N$54,28),0)</f>
        <v>26</v>
      </c>
      <c r="AW25">
        <f>ROUND(D25*INDEX($N$19:$N$54,29),0)</f>
        <v>25</v>
      </c>
      <c r="AX25">
        <f>ROUND(D25*INDEX($N$19:$N$54,30),0)</f>
        <v>24</v>
      </c>
    </row>
    <row r="26">
      <c r="A26" t="inlineStr">
        <is>
          <t>2026-10-01</t>
        </is>
      </c>
      <c r="B26">
        <v>1</v>
      </c>
      <c r="C26" t="inlineStr">
        <is>
          <t>phase_1_user_growth</t>
        </is>
      </c>
      <c r="D26">
        <f>ROUND(MAX(100,I26*J26*K26),0)</f>
        <v>1244</v>
      </c>
      <c r="E26">
        <f>MAX(0,F26-D26)</f>
        <v>580</v>
      </c>
      <c r="F26">
        <f>ROUND(SUM($V$19:$V$54),0)</f>
        <v>1824</v>
      </c>
      <c r="G26" t="inlineStr">
        <is>
          <t/>
        </is>
      </c>
      <c r="H26">
        <f>IF($B26=1,$B$6,IF($B26=2,$B$7,$B$8))</f>
        <v>0.1</v>
      </c>
      <c r="I26">
        <f>I25*(1+H26)</f>
        <v>1364.1</v>
      </c>
      <c r="J26">
        <v>0.911037</v>
      </c>
      <c r="K26">
        <f>MAX(0.85,1+_xlfn.NORM.INV(RAND(),0,$B$15*0.35))</f>
        <v>1.000724</v>
      </c>
      <c r="L26" t="inlineStr">
        <is>
          <t/>
        </is>
      </c>
      <c r="M26">
        <v>7</v>
      </c>
      <c r="N26">
        <f>IF($M26=0,1,IF($M26=1,$B$11,IF($M26=2,$B$12,IF($M26=3,$B$13,$B$13*POWER($B$14,$M26-3)))))</f>
        <v>0.0442646405</v>
      </c>
      <c r="O26" t="inlineStr">
        <is>
          <t/>
        </is>
      </c>
      <c r="P26" t="inlineStr">
        <is>
          <t/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>
        <f>ROUND(D26*INDEX($N$19:$N$54,1),0)</f>
        <v>1244</v>
      </c>
      <c r="W26">
        <f>ROUND(D26*INDEX($N$19:$N$54,2),0)</f>
        <v>311</v>
      </c>
      <c r="X26">
        <f>ROUND(D26*INDEX($N$19:$N$54,3),0)</f>
        <v>149</v>
      </c>
      <c r="Y26">
        <f>ROUND(D26*INDEX($N$19:$N$54,4),0)</f>
        <v>62</v>
      </c>
      <c r="Z26">
        <f>ROUND(D26*INDEX($N$19:$N$54,5),0)</f>
        <v>60</v>
      </c>
      <c r="AA26">
        <f>ROUND(D26*INDEX($N$19:$N$54,6),0)</f>
        <v>59</v>
      </c>
      <c r="AB26">
        <f>ROUND(D26*INDEX($N$19:$N$54,7),0)</f>
        <v>57</v>
      </c>
      <c r="AC26">
        <f>ROUND(D26*INDEX($N$19:$N$54,8),0)</f>
        <v>55</v>
      </c>
      <c r="AD26">
        <f>ROUND(D26*INDEX($N$19:$N$54,9),0)</f>
        <v>53</v>
      </c>
      <c r="AE26">
        <f>ROUND(D26*INDEX($N$19:$N$54,10),0)</f>
        <v>52</v>
      </c>
      <c r="AF26">
        <f>ROUND(D26*INDEX($N$19:$N$54,11),0)</f>
        <v>50</v>
      </c>
      <c r="AG26">
        <f>ROUND(D26*INDEX($N$19:$N$54,12),0)</f>
        <v>49</v>
      </c>
      <c r="AH26">
        <f>ROUND(D26*INDEX($N$19:$N$54,13),0)</f>
        <v>47</v>
      </c>
      <c r="AI26">
        <f>ROUND(D26*INDEX($N$19:$N$54,14),0)</f>
        <v>46</v>
      </c>
      <c r="AJ26">
        <f>ROUND(D26*INDEX($N$19:$N$54,15),0)</f>
        <v>44</v>
      </c>
      <c r="AK26">
        <f>ROUND(D26*INDEX($N$19:$N$54,16),0)</f>
        <v>43</v>
      </c>
      <c r="AL26">
        <f>ROUND(D26*INDEX($N$19:$N$54,17),0)</f>
        <v>42</v>
      </c>
      <c r="AM26">
        <f>ROUND(D26*INDEX($N$19:$N$54,18),0)</f>
        <v>41</v>
      </c>
      <c r="AN26">
        <f>ROUND(D26*INDEX($N$19:$N$54,19),0)</f>
        <v>39</v>
      </c>
      <c r="AO26">
        <f>ROUND(D26*INDEX($N$19:$N$54,20),0)</f>
        <v>38</v>
      </c>
      <c r="AP26">
        <f>ROUND(D26*INDEX($N$19:$N$54,21),0)</f>
        <v>37</v>
      </c>
      <c r="AQ26">
        <f>ROUND(D26*INDEX($N$19:$N$54,22),0)</f>
        <v>36</v>
      </c>
      <c r="AR26">
        <f>ROUND(D26*INDEX($N$19:$N$54,23),0)</f>
        <v>35</v>
      </c>
      <c r="AS26">
        <f>ROUND(D26*INDEX($N$19:$N$54,24),0)</f>
        <v>34</v>
      </c>
      <c r="AT26">
        <f>ROUND(D26*INDEX($N$19:$N$54,25),0)</f>
        <v>33</v>
      </c>
      <c r="AU26">
        <f>ROUND(D26*INDEX($N$19:$N$54,26),0)</f>
        <v>32</v>
      </c>
      <c r="AV26">
        <f>ROUND(D26*INDEX($N$19:$N$54,27),0)</f>
        <v>31</v>
      </c>
      <c r="AW26">
        <f>ROUND(D26*INDEX($N$19:$N$54,28),0)</f>
        <v>30</v>
      </c>
      <c r="AX26">
        <f>ROUND(D26*INDEX($N$19:$N$54,29),0)</f>
        <v>29</v>
      </c>
    </row>
    <row r="27">
      <c r="A27" t="inlineStr">
        <is>
          <t>2026-11-01</t>
        </is>
      </c>
      <c r="B27">
        <v>1</v>
      </c>
      <c r="C27" t="inlineStr">
        <is>
          <t>phase_1_user_growth</t>
        </is>
      </c>
      <c r="D27">
        <f>ROUND(MAX(100,I27*J27*K27),0)</f>
        <v>2020</v>
      </c>
      <c r="E27">
        <f>MAX(0,F27-D27)</f>
        <v>671</v>
      </c>
      <c r="F27">
        <f>ROUND(SUM($W$19:$W$54),0)</f>
        <v>2691</v>
      </c>
      <c r="G27" t="inlineStr">
        <is>
          <t/>
        </is>
      </c>
      <c r="H27">
        <f>IF($B27=1,$B$6,IF($B27=2,$B$7,$B$8))</f>
        <v>0.1</v>
      </c>
      <c r="I27">
        <f>I26*(1+H27)</f>
        <v>1500.51</v>
      </c>
      <c r="J27">
        <v>1.344002</v>
      </c>
      <c r="K27">
        <f>MAX(0.85,1+_xlfn.NORM.INV(RAND(),0,$B$15*0.35))</f>
        <v>1.001745</v>
      </c>
      <c r="L27" t="inlineStr">
        <is>
          <t/>
        </is>
      </c>
      <c r="M27">
        <v>8</v>
      </c>
      <c r="N27">
        <f>IF($M27=0,1,IF($M27=1,$B$11,IF($M27=2,$B$12,IF($M27=3,$B$13,$B$13*POWER($B$14,$M27-3)))))</f>
        <v>0.042936701285</v>
      </c>
      <c r="O27" t="inlineStr">
        <is>
          <t/>
        </is>
      </c>
      <c r="P27" t="inlineStr">
        <is>
          <t/>
        </is>
      </c>
      <c r="Q27" t="inlineStr">
        <is>
          <t/>
        </is>
      </c>
      <c r="R27" t="inlineStr">
        <is>
          <t/>
        </is>
      </c>
      <c r="S27" t="inlineStr">
        <is>
          <t/>
        </is>
      </c>
      <c r="T27" t="inlineStr">
        <is>
          <t/>
        </is>
      </c>
      <c r="U27" t="inlineStr">
        <is>
          <t/>
        </is>
      </c>
      <c r="V27" t="inlineStr">
        <is>
          <t/>
        </is>
      </c>
      <c r="W27">
        <f>ROUND(D27*INDEX($N$19:$N$54,1),0)</f>
        <v>2020</v>
      </c>
      <c r="X27">
        <f>ROUND(D27*INDEX($N$19:$N$54,2),0)</f>
        <v>505</v>
      </c>
      <c r="Y27">
        <f>ROUND(D27*INDEX($N$19:$N$54,3),0)</f>
        <v>242</v>
      </c>
      <c r="Z27">
        <f>ROUND(D27*INDEX($N$19:$N$54,4),0)</f>
        <v>101</v>
      </c>
      <c r="AA27">
        <f>ROUND(D27*INDEX($N$19:$N$54,5),0)</f>
        <v>98</v>
      </c>
      <c r="AB27">
        <f>ROUND(D27*INDEX($N$19:$N$54,6),0)</f>
        <v>95</v>
      </c>
      <c r="AC27">
        <f>ROUND(D27*INDEX($N$19:$N$54,7),0)</f>
        <v>92</v>
      </c>
      <c r="AD27">
        <f>ROUND(D27*INDEX($N$19:$N$54,8),0)</f>
        <v>89</v>
      </c>
      <c r="AE27">
        <f>ROUND(D27*INDEX($N$19:$N$54,9),0)</f>
        <v>87</v>
      </c>
      <c r="AF27">
        <f>ROUND(D27*INDEX($N$19:$N$54,10),0)</f>
        <v>84</v>
      </c>
      <c r="AG27">
        <f>ROUND(D27*INDEX($N$19:$N$54,11),0)</f>
        <v>82</v>
      </c>
      <c r="AH27">
        <f>ROUND(D27*INDEX($N$19:$N$54,12),0)</f>
        <v>79</v>
      </c>
      <c r="AI27">
        <f>ROUND(D27*INDEX($N$19:$N$54,13),0)</f>
        <v>77</v>
      </c>
      <c r="AJ27">
        <f>ROUND(D27*INDEX($N$19:$N$54,14),0)</f>
        <v>74</v>
      </c>
      <c r="AK27">
        <f>ROUND(D27*INDEX($N$19:$N$54,15),0)</f>
        <v>72</v>
      </c>
      <c r="AL27">
        <f>ROUND(D27*INDEX($N$19:$N$54,16),0)</f>
        <v>70</v>
      </c>
      <c r="AM27">
        <f>ROUND(D27*INDEX($N$19:$N$54,17),0)</f>
        <v>68</v>
      </c>
      <c r="AN27">
        <f>ROUND(D27*INDEX($N$19:$N$54,18),0)</f>
        <v>66</v>
      </c>
      <c r="AO27">
        <f>ROUND(D27*INDEX($N$19:$N$54,19),0)</f>
        <v>64</v>
      </c>
      <c r="AP27">
        <f>ROUND(D27*INDEX($N$19:$N$54,20),0)</f>
        <v>62</v>
      </c>
      <c r="AQ27">
        <f>ROUND(D27*INDEX($N$19:$N$54,21),0)</f>
        <v>60</v>
      </c>
      <c r="AR27">
        <f>ROUND(D27*INDEX($N$19:$N$54,22),0)</f>
        <v>58</v>
      </c>
      <c r="AS27">
        <f>ROUND(D27*INDEX($N$19:$N$54,23),0)</f>
        <v>57</v>
      </c>
      <c r="AT27">
        <f>ROUND(D27*INDEX($N$19:$N$54,24),0)</f>
        <v>55</v>
      </c>
      <c r="AU27">
        <f>ROUND(D27*INDEX($N$19:$N$54,25),0)</f>
        <v>53</v>
      </c>
      <c r="AV27">
        <f>ROUND(D27*INDEX($N$19:$N$54,26),0)</f>
        <v>52</v>
      </c>
      <c r="AW27">
        <f>ROUND(D27*INDEX($N$19:$N$54,27),0)</f>
        <v>50</v>
      </c>
      <c r="AX27">
        <f>ROUND(D27*INDEX($N$19:$N$54,28),0)</f>
        <v>49</v>
      </c>
    </row>
    <row r="28">
      <c r="A28" t="inlineStr">
        <is>
          <t>2026-12-01</t>
        </is>
      </c>
      <c r="B28">
        <v>1</v>
      </c>
      <c r="C28" t="inlineStr">
        <is>
          <t>phase_1_user_growth</t>
        </is>
      </c>
      <c r="D28">
        <f>ROUND(MAX(100,I28*J28*K28),0)</f>
        <v>4065</v>
      </c>
      <c r="E28">
        <f>MAX(0,F28-D28)</f>
        <v>933</v>
      </c>
      <c r="F28">
        <f>ROUND(SUM($X$19:$X$54),0)</f>
        <v>4998</v>
      </c>
      <c r="G28" t="inlineStr">
        <is>
          <t/>
        </is>
      </c>
      <c r="H28">
        <f>IF($B28=1,$B$6,IF($B28=2,$B$7,$B$8))</f>
        <v>0.1</v>
      </c>
      <c r="I28">
        <f>I27*(1+H28)</f>
        <v>1650.56</v>
      </c>
      <c r="J28">
        <v>2.521434</v>
      </c>
      <c r="K28">
        <f>MAX(0.85,1+_xlfn.NORM.INV(RAND(),0,$B$15*0.35))</f>
        <v>0.976809</v>
      </c>
      <c r="L28" t="inlineStr">
        <is>
          <t/>
        </is>
      </c>
      <c r="M28">
        <v>9</v>
      </c>
      <c r="N28">
        <f>IF($M28=0,1,IF($M28=1,$B$11,IF($M28=2,$B$12,IF($M28=3,$B$13,$B$13*POWER($B$14,$M28-3)))))</f>
        <v>0.04164860024645</v>
      </c>
      <c r="O28" t="inlineStr">
        <is>
          <t/>
        </is>
      </c>
      <c r="P28" t="inlineStr">
        <is>
          <t/>
        </is>
      </c>
      <c r="Q28" t="inlineStr">
        <is>
          <t/>
        </is>
      </c>
      <c r="R28" t="inlineStr">
        <is>
          <t/>
        </is>
      </c>
      <c r="S28" t="inlineStr">
        <is>
          <t/>
        </is>
      </c>
      <c r="T28" t="inlineStr">
        <is>
          <t/>
        </is>
      </c>
      <c r="U28" t="inlineStr">
        <is>
          <t/>
        </is>
      </c>
      <c r="V28" t="inlineStr">
        <is>
          <t/>
        </is>
      </c>
      <c r="W28" t="inlineStr">
        <is>
          <t/>
        </is>
      </c>
      <c r="X28">
        <f>ROUND(D28*INDEX($N$19:$N$54,1),0)</f>
        <v>4065</v>
      </c>
      <c r="Y28">
        <f>ROUND(D28*INDEX($N$19:$N$54,2),0)</f>
        <v>1016</v>
      </c>
      <c r="Z28">
        <f>ROUND(D28*INDEX($N$19:$N$54,3),0)</f>
        <v>488</v>
      </c>
      <c r="AA28">
        <f>ROUND(D28*INDEX($N$19:$N$54,4),0)</f>
        <v>203</v>
      </c>
      <c r="AB28">
        <f>ROUND(D28*INDEX($N$19:$N$54,5),0)</f>
        <v>197</v>
      </c>
      <c r="AC28">
        <f>ROUND(D28*INDEX($N$19:$N$54,6),0)</f>
        <v>191</v>
      </c>
      <c r="AD28">
        <f>ROUND(D28*INDEX($N$19:$N$54,7),0)</f>
        <v>186</v>
      </c>
      <c r="AE28">
        <f>ROUND(D28*INDEX($N$19:$N$54,8),0)</f>
        <v>180</v>
      </c>
      <c r="AF28">
        <f>ROUND(D28*INDEX($N$19:$N$54,9),0)</f>
        <v>175</v>
      </c>
      <c r="AG28">
        <f>ROUND(D28*INDEX($N$19:$N$54,10),0)</f>
        <v>169</v>
      </c>
      <c r="AH28">
        <f>ROUND(D28*INDEX($N$19:$N$54,11),0)</f>
        <v>164</v>
      </c>
      <c r="AI28">
        <f>ROUND(D28*INDEX($N$19:$N$54,12),0)</f>
        <v>159</v>
      </c>
      <c r="AJ28">
        <f>ROUND(D28*INDEX($N$19:$N$54,13),0)</f>
        <v>155</v>
      </c>
      <c r="AK28">
        <f>ROUND(D28*INDEX($N$19:$N$54,14),0)</f>
        <v>150</v>
      </c>
      <c r="AL28">
        <f>ROUND(D28*INDEX($N$19:$N$54,15),0)</f>
        <v>145</v>
      </c>
      <c r="AM28">
        <f>ROUND(D28*INDEX($N$19:$N$54,16),0)</f>
        <v>141</v>
      </c>
      <c r="AN28">
        <f>ROUND(D28*INDEX($N$19:$N$54,17),0)</f>
        <v>137</v>
      </c>
      <c r="AO28">
        <f>ROUND(D28*INDEX($N$19:$N$54,18),0)</f>
        <v>133</v>
      </c>
      <c r="AP28">
        <f>ROUND(D28*INDEX($N$19:$N$54,19),0)</f>
        <v>129</v>
      </c>
      <c r="AQ28">
        <f>ROUND(D28*INDEX($N$19:$N$54,20),0)</f>
        <v>125</v>
      </c>
      <c r="AR28">
        <f>ROUND(D28*INDEX($N$19:$N$54,21),0)</f>
        <v>121</v>
      </c>
      <c r="AS28">
        <f>ROUND(D28*INDEX($N$19:$N$54,22),0)</f>
        <v>117</v>
      </c>
      <c r="AT28">
        <f>ROUND(D28*INDEX($N$19:$N$54,23),0)</f>
        <v>114</v>
      </c>
      <c r="AU28">
        <f>ROUND(D28*INDEX($N$19:$N$54,24),0)</f>
        <v>111</v>
      </c>
      <c r="AV28">
        <f>ROUND(D28*INDEX($N$19:$N$54,25),0)</f>
        <v>107</v>
      </c>
      <c r="AW28">
        <f>ROUND(D28*INDEX($N$19:$N$54,26),0)</f>
        <v>104</v>
      </c>
      <c r="AX28">
        <f>ROUND(D28*INDEX($N$19:$N$54,27),0)</f>
        <v>101</v>
      </c>
    </row>
    <row r="29">
      <c r="A29" t="inlineStr">
        <is>
          <t>2027-01-01</t>
        </is>
      </c>
      <c r="B29">
        <v>1</v>
      </c>
      <c r="C29" t="inlineStr">
        <is>
          <t>phase_1_user_growth</t>
        </is>
      </c>
      <c r="D29">
        <f>ROUND(MAX(100,I29*J29*K29),0)</f>
        <v>1470</v>
      </c>
      <c r="E29">
        <f>MAX(0,F29-D29)</f>
        <v>1590</v>
      </c>
      <c r="F29">
        <f>ROUND(SUM($Y$19:$Y$54),0)</f>
        <v>3060</v>
      </c>
      <c r="G29" t="inlineStr">
        <is>
          <t/>
        </is>
      </c>
      <c r="H29">
        <f>IF($B29=1,$B$6,IF($B29=2,$B$7,$B$8))</f>
        <v>0.1</v>
      </c>
      <c r="I29">
        <f>I28*(1+H29)</f>
        <v>1815.62</v>
      </c>
      <c r="J29">
        <v>0.805962</v>
      </c>
      <c r="K29">
        <f>MAX(0.85,1+_xlfn.NORM.INV(RAND(),0,$B$15*0.35))</f>
        <v>1.004354</v>
      </c>
      <c r="L29" t="inlineStr">
        <is>
          <t/>
        </is>
      </c>
      <c r="M29">
        <v>10</v>
      </c>
      <c r="N29">
        <f>IF($M29=0,1,IF($M29=1,$B$11,IF($M29=2,$B$12,IF($M29=3,$B$13,$B$13*POWER($B$14,$M29-3)))))</f>
        <v>0.0403991422390565</v>
      </c>
      <c r="O29" t="inlineStr">
        <is>
          <t/>
        </is>
      </c>
      <c r="P29" t="inlineStr">
        <is>
          <t/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>
        <f>ROUND(D29*INDEX($N$19:$N$54,1),0)</f>
        <v>1470</v>
      </c>
      <c r="Z29">
        <f>ROUND(D29*INDEX($N$19:$N$54,2),0)</f>
        <v>368</v>
      </c>
      <c r="AA29">
        <f>ROUND(D29*INDEX($N$19:$N$54,3),0)</f>
        <v>176</v>
      </c>
      <c r="AB29">
        <f>ROUND(D29*INDEX($N$19:$N$54,4),0)</f>
        <v>74</v>
      </c>
      <c r="AC29">
        <f>ROUND(D29*INDEX($N$19:$N$54,5),0)</f>
        <v>71</v>
      </c>
      <c r="AD29">
        <f>ROUND(D29*INDEX($N$19:$N$54,6),0)</f>
        <v>69</v>
      </c>
      <c r="AE29">
        <f>ROUND(D29*INDEX($N$19:$N$54,7),0)</f>
        <v>67</v>
      </c>
      <c r="AF29">
        <f>ROUND(D29*INDEX($N$19:$N$54,8),0)</f>
        <v>65</v>
      </c>
      <c r="AG29">
        <f>ROUND(D29*INDEX($N$19:$N$54,9),0)</f>
        <v>63</v>
      </c>
      <c r="AH29">
        <f>ROUND(D29*INDEX($N$19:$N$54,10),0)</f>
        <v>61</v>
      </c>
      <c r="AI29">
        <f>ROUND(D29*INDEX($N$19:$N$54,11),0)</f>
        <v>59</v>
      </c>
      <c r="AJ29">
        <f>ROUND(D29*INDEX($N$19:$N$54,12),0)</f>
        <v>58</v>
      </c>
      <c r="AK29">
        <f>ROUND(D29*INDEX($N$19:$N$54,13),0)</f>
        <v>56</v>
      </c>
      <c r="AL29">
        <f>ROUND(D29*INDEX($N$19:$N$54,14),0)</f>
        <v>54</v>
      </c>
      <c r="AM29">
        <f>ROUND(D29*INDEX($N$19:$N$54,15),0)</f>
        <v>53</v>
      </c>
      <c r="AN29">
        <f>ROUND(D29*INDEX($N$19:$N$54,16),0)</f>
        <v>51</v>
      </c>
      <c r="AO29">
        <f>ROUND(D29*INDEX($N$19:$N$54,17),0)</f>
        <v>49</v>
      </c>
      <c r="AP29">
        <f>ROUND(D29*INDEX($N$19:$N$54,18),0)</f>
        <v>48</v>
      </c>
      <c r="AQ29">
        <f>ROUND(D29*INDEX($N$19:$N$54,19),0)</f>
        <v>47</v>
      </c>
      <c r="AR29">
        <f>ROUND(D29*INDEX($N$19:$N$54,20),0)</f>
        <v>45</v>
      </c>
      <c r="AS29">
        <f>ROUND(D29*INDEX($N$19:$N$54,21),0)</f>
        <v>44</v>
      </c>
      <c r="AT29">
        <f>ROUND(D29*INDEX($N$19:$N$54,22),0)</f>
        <v>42</v>
      </c>
      <c r="AU29">
        <f>ROUND(D29*INDEX($N$19:$N$54,23),0)</f>
        <v>41</v>
      </c>
      <c r="AV29">
        <f>ROUND(D29*INDEX($N$19:$N$54,24),0)</f>
        <v>40</v>
      </c>
      <c r="AW29">
        <f>ROUND(D29*INDEX($N$19:$N$54,25),0)</f>
        <v>39</v>
      </c>
      <c r="AX29">
        <f>ROUND(D29*INDEX($N$19:$N$54,26),0)</f>
        <v>38</v>
      </c>
    </row>
    <row r="30">
      <c r="A30" t="inlineStr">
        <is>
          <t>2027-02-01</t>
        </is>
      </c>
      <c r="B30">
        <v>1</v>
      </c>
      <c r="C30" t="inlineStr">
        <is>
          <t>phase_1_user_growth</t>
        </is>
      </c>
      <c r="D30">
        <f>ROUND(MAX(100,I30*J30*K30),0)</f>
        <v>1974</v>
      </c>
      <c r="E30">
        <f>MAX(0,F30-D30)</f>
        <v>1280</v>
      </c>
      <c r="F30">
        <f>ROUND(SUM($Z$19:$Z$54),0)</f>
        <v>3254</v>
      </c>
      <c r="G30" t="inlineStr">
        <is>
          <t/>
        </is>
      </c>
      <c r="H30">
        <f>IF($B30=1,$B$6,IF($B30=2,$B$7,$B$8))</f>
        <v>0.1</v>
      </c>
      <c r="I30">
        <f>I29*(1+H30)</f>
        <v>1997.18</v>
      </c>
      <c r="J30">
        <v>0.9952</v>
      </c>
      <c r="K30">
        <f>MAX(0.85,1+_xlfn.NORM.INV(RAND(),0,$B$15*0.35))</f>
        <v>0.993253</v>
      </c>
      <c r="L30" t="inlineStr">
        <is>
          <t/>
        </is>
      </c>
      <c r="M30">
        <v>11</v>
      </c>
      <c r="N30">
        <f>IF($M30=0,1,IF($M30=1,$B$11,IF($M30=2,$B$12,IF($M30=3,$B$13,$B$13*POWER($B$14,$M30-3)))))</f>
        <v>0.0391871679718848</v>
      </c>
      <c r="O30" t="inlineStr">
        <is>
          <t/>
        </is>
      </c>
      <c r="P30" t="inlineStr">
        <is>
          <t/>
        </is>
      </c>
      <c r="Q30" t="inlineStr">
        <is>
          <t/>
        </is>
      </c>
      <c r="R30" t="inlineStr">
        <is>
          <t/>
        </is>
      </c>
      <c r="S30" t="inlineStr">
        <is>
          <t/>
        </is>
      </c>
      <c r="T30" t="inlineStr">
        <is>
          <t/>
        </is>
      </c>
      <c r="U30" t="inlineStr">
        <is>
          <t/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>
        <f>ROUND(D30*INDEX($N$19:$N$54,1),0)</f>
        <v>1974</v>
      </c>
      <c r="AA30">
        <f>ROUND(D30*INDEX($N$19:$N$54,2),0)</f>
        <v>494</v>
      </c>
      <c r="AB30">
        <f>ROUND(D30*INDEX($N$19:$N$54,3),0)</f>
        <v>237</v>
      </c>
      <c r="AC30">
        <f>ROUND(D30*INDEX($N$19:$N$54,4),0)</f>
        <v>99</v>
      </c>
      <c r="AD30">
        <f>ROUND(D30*INDEX($N$19:$N$54,5),0)</f>
        <v>96</v>
      </c>
      <c r="AE30">
        <f>ROUND(D30*INDEX($N$19:$N$54,6),0)</f>
        <v>93</v>
      </c>
      <c r="AF30">
        <f>ROUND(D30*INDEX($N$19:$N$54,7),0)</f>
        <v>90</v>
      </c>
      <c r="AG30">
        <f>ROUND(D30*INDEX($N$19:$N$54,8),0)</f>
        <v>87</v>
      </c>
      <c r="AH30">
        <f>ROUND(D30*INDEX($N$19:$N$54,9),0)</f>
        <v>85</v>
      </c>
      <c r="AI30">
        <f>ROUND(D30*INDEX($N$19:$N$54,10),0)</f>
        <v>82</v>
      </c>
      <c r="AJ30">
        <f>ROUND(D30*INDEX($N$19:$N$54,11),0)</f>
        <v>80</v>
      </c>
      <c r="AK30">
        <f>ROUND(D30*INDEX($N$19:$N$54,12),0)</f>
        <v>77</v>
      </c>
      <c r="AL30">
        <f>ROUND(D30*INDEX($N$19:$N$54,13),0)</f>
        <v>75</v>
      </c>
      <c r="AM30">
        <f>ROUND(D30*INDEX($N$19:$N$54,14),0)</f>
        <v>73</v>
      </c>
      <c r="AN30">
        <f>ROUND(D30*INDEX($N$19:$N$54,15),0)</f>
        <v>71</v>
      </c>
      <c r="AO30">
        <f>ROUND(D30*INDEX($N$19:$N$54,16),0)</f>
        <v>68</v>
      </c>
      <c r="AP30">
        <f>ROUND(D30*INDEX($N$19:$N$54,17),0)</f>
        <v>66</v>
      </c>
      <c r="AQ30">
        <f>ROUND(D30*INDEX($N$19:$N$54,18),0)</f>
        <v>64</v>
      </c>
      <c r="AR30">
        <f>ROUND(D30*INDEX($N$19:$N$54,19),0)</f>
        <v>63</v>
      </c>
      <c r="AS30">
        <f>ROUND(D30*INDEX($N$19:$N$54,20),0)</f>
        <v>61</v>
      </c>
      <c r="AT30">
        <f>ROUND(D30*INDEX($N$19:$N$54,21),0)</f>
        <v>59</v>
      </c>
      <c r="AU30">
        <f>ROUND(D30*INDEX($N$19:$N$54,22),0)</f>
        <v>57</v>
      </c>
      <c r="AV30">
        <f>ROUND(D30*INDEX($N$19:$N$54,23),0)</f>
        <v>55</v>
      </c>
      <c r="AW30">
        <f>ROUND(D30*INDEX($N$19:$N$54,24),0)</f>
        <v>54</v>
      </c>
      <c r="AX30">
        <f>ROUND(D30*INDEX($N$19:$N$54,25),0)</f>
        <v>52</v>
      </c>
    </row>
    <row r="31">
      <c r="A31" t="inlineStr">
        <is>
          <t>2027-03-01</t>
        </is>
      </c>
      <c r="B31">
        <v>2</v>
      </c>
      <c r="C31" t="inlineStr">
        <is>
          <t>phase_2_marketplace_activation</t>
        </is>
      </c>
      <c r="D31">
        <f>ROUND(MAX(100,I31*J31*K31),0)</f>
        <v>1725</v>
      </c>
      <c r="E31">
        <f>MAX(0,F31-D31)</f>
        <v>1283</v>
      </c>
      <c r="F31">
        <f>ROUND(SUM($AA$19:$AA$54),0)</f>
        <v>3008</v>
      </c>
      <c r="G31" t="inlineStr">
        <is>
          <t/>
        </is>
      </c>
      <c r="H31">
        <f>IF($B31=1,$B$6,IF($B31=2,$B$7,$B$8))</f>
        <v>0.05</v>
      </c>
      <c r="I31">
        <f>I30*(1+H31)</f>
        <v>2097.04</v>
      </c>
      <c r="J31">
        <v>0.852079</v>
      </c>
      <c r="K31">
        <f>MAX(0.85,1+_xlfn.NORM.INV(RAND(),0,$B$15*0.35))</f>
        <v>0.965491</v>
      </c>
      <c r="L31" t="inlineStr">
        <is>
          <t/>
        </is>
      </c>
      <c r="M31">
        <v>12</v>
      </c>
      <c r="N31">
        <f>IF($M31=0,1,IF($M31=1,$B$11,IF($M31=2,$B$12,IF($M31=3,$B$13,$B$13*POWER($B$14,$M31-3)))))</f>
        <v>0.0380115529327283</v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/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>
        <f>ROUND(D31*INDEX($N$19:$N$54,1),0)</f>
        <v>1725</v>
      </c>
      <c r="AB31">
        <f>ROUND(D31*INDEX($N$19:$N$54,2),0)</f>
        <v>431</v>
      </c>
      <c r="AC31">
        <f>ROUND(D31*INDEX($N$19:$N$54,3),0)</f>
        <v>207</v>
      </c>
      <c r="AD31">
        <f>ROUND(D31*INDEX($N$19:$N$54,4),0)</f>
        <v>86</v>
      </c>
      <c r="AE31">
        <f>ROUND(D31*INDEX($N$19:$N$54,5),0)</f>
        <v>84</v>
      </c>
      <c r="AF31">
        <f>ROUND(D31*INDEX($N$19:$N$54,6),0)</f>
        <v>81</v>
      </c>
      <c r="AG31">
        <f>ROUND(D31*INDEX($N$19:$N$54,7),0)</f>
        <v>79</v>
      </c>
      <c r="AH31">
        <f>ROUND(D31*INDEX($N$19:$N$54,8),0)</f>
        <v>76</v>
      </c>
      <c r="AI31">
        <f>ROUND(D31*INDEX($N$19:$N$54,9),0)</f>
        <v>74</v>
      </c>
      <c r="AJ31">
        <f>ROUND(D31*INDEX($N$19:$N$54,10),0)</f>
        <v>72</v>
      </c>
      <c r="AK31">
        <f>ROUND(D31*INDEX($N$19:$N$54,11),0)</f>
        <v>70</v>
      </c>
      <c r="AL31">
        <f>ROUND(D31*INDEX($N$19:$N$54,12),0)</f>
        <v>68</v>
      </c>
      <c r="AM31">
        <f>ROUND(D31*INDEX($N$19:$N$54,13),0)</f>
        <v>66</v>
      </c>
      <c r="AN31">
        <f>ROUND(D31*INDEX($N$19:$N$54,14),0)</f>
        <v>64</v>
      </c>
      <c r="AO31">
        <f>ROUND(D31*INDEX($N$19:$N$54,15),0)</f>
        <v>62</v>
      </c>
      <c r="AP31">
        <f>ROUND(D31*INDEX($N$19:$N$54,16),0)</f>
        <v>60</v>
      </c>
      <c r="AQ31">
        <f>ROUND(D31*INDEX($N$19:$N$54,17),0)</f>
        <v>58</v>
      </c>
      <c r="AR31">
        <f>ROUND(D31*INDEX($N$19:$N$54,18),0)</f>
        <v>56</v>
      </c>
      <c r="AS31">
        <f>ROUND(D31*INDEX($N$19:$N$54,19),0)</f>
        <v>55</v>
      </c>
      <c r="AT31">
        <f>ROUND(D31*INDEX($N$19:$N$54,20),0)</f>
        <v>53</v>
      </c>
      <c r="AU31">
        <f>ROUND(D31*INDEX($N$19:$N$54,21),0)</f>
        <v>51</v>
      </c>
      <c r="AV31">
        <f>ROUND(D31*INDEX($N$19:$N$54,22),0)</f>
        <v>50</v>
      </c>
      <c r="AW31">
        <f>ROUND(D31*INDEX($N$19:$N$54,23),0)</f>
        <v>48</v>
      </c>
      <c r="AX31">
        <f>ROUND(D31*INDEX($N$19:$N$54,24),0)</f>
        <v>47</v>
      </c>
    </row>
    <row r="32">
      <c r="A32" t="inlineStr">
        <is>
          <t>2027-04-01</t>
        </is>
      </c>
      <c r="B32">
        <v>2</v>
      </c>
      <c r="C32" t="inlineStr">
        <is>
          <t>phase_2_marketplace_activation</t>
        </is>
      </c>
      <c r="D32">
        <f>ROUND(MAX(100,I32*J32*K32),0)</f>
        <v>1806</v>
      </c>
      <c r="E32">
        <f>MAX(0,F32-D32)</f>
        <v>1338</v>
      </c>
      <c r="F32">
        <f>ROUND(SUM($AB$19:$AB$54),0)</f>
        <v>3144</v>
      </c>
      <c r="G32" t="inlineStr">
        <is>
          <t/>
        </is>
      </c>
      <c r="H32">
        <f>IF($B32=1,$B$6,IF($B32=2,$B$7,$B$8))</f>
        <v>0.05</v>
      </c>
      <c r="I32">
        <f>I31*(1+H32)</f>
        <v>2201.89</v>
      </c>
      <c r="J32">
        <v>0.843513</v>
      </c>
      <c r="K32">
        <f>MAX(0.85,1+_xlfn.NORM.INV(RAND(),0,$B$15*0.35))</f>
        <v>0.972386</v>
      </c>
      <c r="L32" t="inlineStr">
        <is>
          <t/>
        </is>
      </c>
      <c r="M32">
        <v>13</v>
      </c>
      <c r="N32">
        <f>IF($M32=0,1,IF($M32=1,$B$11,IF($M32=2,$B$12,IF($M32=3,$B$13,$B$13*POWER($B$14,$M32-3)))))</f>
        <v>0.0368712063447464</v>
      </c>
      <c r="O32" t="inlineStr">
        <is>
          <t/>
        </is>
      </c>
      <c r="P32" t="inlineStr">
        <is>
          <t/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>
        <f>ROUND(D32*INDEX($N$19:$N$54,1),0)</f>
        <v>1806</v>
      </c>
      <c r="AC32">
        <f>ROUND(D32*INDEX($N$19:$N$54,2),0)</f>
        <v>452</v>
      </c>
      <c r="AD32">
        <f>ROUND(D32*INDEX($N$19:$N$54,3),0)</f>
        <v>217</v>
      </c>
      <c r="AE32">
        <f>ROUND(D32*INDEX($N$19:$N$54,4),0)</f>
        <v>90</v>
      </c>
      <c r="AF32">
        <f>ROUND(D32*INDEX($N$19:$N$54,5),0)</f>
        <v>88</v>
      </c>
      <c r="AG32">
        <f>ROUND(D32*INDEX($N$19:$N$54,6),0)</f>
        <v>85</v>
      </c>
      <c r="AH32">
        <f>ROUND(D32*INDEX($N$19:$N$54,7),0)</f>
        <v>82</v>
      </c>
      <c r="AI32">
        <f>ROUND(D32*INDEX($N$19:$N$54,8),0)</f>
        <v>80</v>
      </c>
      <c r="AJ32">
        <f>ROUND(D32*INDEX($N$19:$N$54,9),0)</f>
        <v>78</v>
      </c>
      <c r="AK32">
        <f>ROUND(D32*INDEX($N$19:$N$54,10),0)</f>
        <v>75</v>
      </c>
      <c r="AL32">
        <f>ROUND(D32*INDEX($N$19:$N$54,11),0)</f>
        <v>73</v>
      </c>
      <c r="AM32">
        <f>ROUND(D32*INDEX($N$19:$N$54,12),0)</f>
        <v>71</v>
      </c>
      <c r="AN32">
        <f>ROUND(D32*INDEX($N$19:$N$54,13),0)</f>
        <v>69</v>
      </c>
      <c r="AO32">
        <f>ROUND(D32*INDEX($N$19:$N$54,14),0)</f>
        <v>67</v>
      </c>
      <c r="AP32">
        <f>ROUND(D32*INDEX($N$19:$N$54,15),0)</f>
        <v>65</v>
      </c>
      <c r="AQ32">
        <f>ROUND(D32*INDEX($N$19:$N$54,16),0)</f>
        <v>63</v>
      </c>
      <c r="AR32">
        <f>ROUND(D32*INDEX($N$19:$N$54,17),0)</f>
        <v>61</v>
      </c>
      <c r="AS32">
        <f>ROUND(D32*INDEX($N$19:$N$54,18),0)</f>
        <v>59</v>
      </c>
      <c r="AT32">
        <f>ROUND(D32*INDEX($N$19:$N$54,19),0)</f>
        <v>57</v>
      </c>
      <c r="AU32">
        <f>ROUND(D32*INDEX($N$19:$N$54,20),0)</f>
        <v>55</v>
      </c>
      <c r="AV32">
        <f>ROUND(D32*INDEX($N$19:$N$54,21),0)</f>
        <v>54</v>
      </c>
      <c r="AW32">
        <f>ROUND(D32*INDEX($N$19:$N$54,22),0)</f>
        <v>52</v>
      </c>
      <c r="AX32">
        <f>ROUND(D32*INDEX($N$19:$N$54,23),0)</f>
        <v>51</v>
      </c>
    </row>
    <row r="33">
      <c r="A33" t="inlineStr">
        <is>
          <t>2027-05-01</t>
        </is>
      </c>
      <c r="B33">
        <v>2</v>
      </c>
      <c r="C33" t="inlineStr">
        <is>
          <t>phase_2_marketplace_activation</t>
        </is>
      </c>
      <c r="D33">
        <f>ROUND(MAX(100,I33*J33*K33),0)</f>
        <v>2329</v>
      </c>
      <c r="E33">
        <f>MAX(0,F33-D33)</f>
        <v>1406</v>
      </c>
      <c r="F33">
        <f>ROUND(SUM($AC$19:$AC$54),0)</f>
        <v>3735</v>
      </c>
      <c r="G33" t="inlineStr">
        <is>
          <t/>
        </is>
      </c>
      <c r="H33">
        <f>IF($B33=1,$B$6,IF($B33=2,$B$7,$B$8))</f>
        <v>0.05</v>
      </c>
      <c r="I33">
        <f>I32*(1+H33)</f>
        <v>2311.99</v>
      </c>
      <c r="J33">
        <v>1.01307</v>
      </c>
      <c r="K33">
        <f>MAX(0.85,1+_xlfn.NORM.INV(RAND(),0,$B$15*0.35))</f>
        <v>0.994418</v>
      </c>
      <c r="L33" t="inlineStr">
        <is>
          <t/>
        </is>
      </c>
      <c r="M33">
        <v>14</v>
      </c>
      <c r="N33">
        <f>IF($M33=0,1,IF($M33=1,$B$11,IF($M33=2,$B$12,IF($M33=3,$B$13,$B$13*POWER($B$14,$M33-3)))))</f>
        <v>0.035765070154404</v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/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/>
        </is>
      </c>
      <c r="AA33" t="inlineStr">
        <is>
          <t/>
        </is>
      </c>
      <c r="AB33" t="inlineStr">
        <is>
          <t/>
        </is>
      </c>
      <c r="AC33">
        <f>ROUND(D33*INDEX($N$19:$N$54,1),0)</f>
        <v>2329</v>
      </c>
      <c r="AD33">
        <f>ROUND(D33*INDEX($N$19:$N$54,2),0)</f>
        <v>582</v>
      </c>
      <c r="AE33">
        <f>ROUND(D33*INDEX($N$19:$N$54,3),0)</f>
        <v>279</v>
      </c>
      <c r="AF33">
        <f>ROUND(D33*INDEX($N$19:$N$54,4),0)</f>
        <v>116</v>
      </c>
      <c r="AG33">
        <f>ROUND(D33*INDEX($N$19:$N$54,5),0)</f>
        <v>113</v>
      </c>
      <c r="AH33">
        <f>ROUND(D33*INDEX($N$19:$N$54,6),0)</f>
        <v>110</v>
      </c>
      <c r="AI33">
        <f>ROUND(D33*INDEX($N$19:$N$54,7),0)</f>
        <v>106</v>
      </c>
      <c r="AJ33">
        <f>ROUND(D33*INDEX($N$19:$N$54,8),0)</f>
        <v>103</v>
      </c>
      <c r="AK33">
        <f>ROUND(D33*INDEX($N$19:$N$54,9),0)</f>
        <v>100</v>
      </c>
      <c r="AL33">
        <f>ROUND(D33*INDEX($N$19:$N$54,10),0)</f>
        <v>97</v>
      </c>
      <c r="AM33">
        <f>ROUND(D33*INDEX($N$19:$N$54,11),0)</f>
        <v>94</v>
      </c>
      <c r="AN33">
        <f>ROUND(D33*INDEX($N$19:$N$54,12),0)</f>
        <v>91</v>
      </c>
      <c r="AO33">
        <f>ROUND(D33*INDEX($N$19:$N$54,13),0)</f>
        <v>89</v>
      </c>
      <c r="AP33">
        <f>ROUND(D33*INDEX($N$19:$N$54,14),0)</f>
        <v>86</v>
      </c>
      <c r="AQ33">
        <f>ROUND(D33*INDEX($N$19:$N$54,15),0)</f>
        <v>83</v>
      </c>
      <c r="AR33">
        <f>ROUND(D33*INDEX($N$19:$N$54,16),0)</f>
        <v>81</v>
      </c>
      <c r="AS33">
        <f>ROUND(D33*INDEX($N$19:$N$54,17),0)</f>
        <v>78</v>
      </c>
      <c r="AT33">
        <f>ROUND(D33*INDEX($N$19:$N$54,18),0)</f>
        <v>76</v>
      </c>
      <c r="AU33">
        <f>ROUND(D33*INDEX($N$19:$N$54,19),0)</f>
        <v>74</v>
      </c>
      <c r="AV33">
        <f>ROUND(D33*INDEX($N$19:$N$54,20),0)</f>
        <v>72</v>
      </c>
      <c r="AW33">
        <f>ROUND(D33*INDEX($N$19:$N$54,21),0)</f>
        <v>69</v>
      </c>
      <c r="AX33">
        <f>ROUND(D33*INDEX($N$19:$N$54,22),0)</f>
        <v>67</v>
      </c>
    </row>
    <row r="34">
      <c r="A34" t="inlineStr">
        <is>
          <t>2027-06-01</t>
        </is>
      </c>
      <c r="B34">
        <v>2</v>
      </c>
      <c r="C34" t="inlineStr">
        <is>
          <t>phase_2_marketplace_activation</t>
        </is>
      </c>
      <c r="D34">
        <f>ROUND(MAX(100,I34*J34*K34),0)</f>
        <v>2186</v>
      </c>
      <c r="E34">
        <f>MAX(0,F34-D34)</f>
        <v>1610</v>
      </c>
      <c r="F34">
        <f>ROUND(SUM($AD$19:$AD$54),0)</f>
        <v>3796</v>
      </c>
      <c r="G34" t="inlineStr">
        <is>
          <t/>
        </is>
      </c>
      <c r="H34">
        <f>IF($B34=1,$B$6,IF($B34=2,$B$7,$B$8))</f>
        <v>0.05</v>
      </c>
      <c r="I34">
        <f>I33*(1+H34)</f>
        <v>2427.59</v>
      </c>
      <c r="J34">
        <v>0.906254</v>
      </c>
      <c r="K34">
        <f>MAX(0.85,1+_xlfn.NORM.INV(RAND(),0,$B$15*0.35))</f>
        <v>0.993475</v>
      </c>
      <c r="L34" t="inlineStr">
        <is>
          <t/>
        </is>
      </c>
      <c r="M34">
        <v>15</v>
      </c>
      <c r="N34">
        <f>IF($M34=0,1,IF($M34=1,$B$11,IF($M34=2,$B$12,IF($M34=3,$B$13,$B$13*POWER($B$14,$M34-3)))))</f>
        <v>0.0346921180497719</v>
      </c>
      <c r="O34" t="inlineStr">
        <is>
          <t/>
        </is>
      </c>
      <c r="P34" t="inlineStr">
        <is>
          <t/>
        </is>
      </c>
      <c r="Q34" t="inlineStr">
        <is>
          <t/>
        </is>
      </c>
      <c r="R34" t="inlineStr">
        <is>
          <t/>
        </is>
      </c>
      <c r="S34" t="inlineStr">
        <is>
          <t/>
        </is>
      </c>
      <c r="T34" t="inlineStr">
        <is>
          <t/>
        </is>
      </c>
      <c r="U34" t="inlineStr">
        <is>
          <t/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>
        <f>ROUND(D34*INDEX($N$19:$N$54,1),0)</f>
        <v>2186</v>
      </c>
      <c r="AE34">
        <f>ROUND(D34*INDEX($N$19:$N$54,2),0)</f>
        <v>546</v>
      </c>
      <c r="AF34">
        <f>ROUND(D34*INDEX($N$19:$N$54,3),0)</f>
        <v>262</v>
      </c>
      <c r="AG34">
        <f>ROUND(D34*INDEX($N$19:$N$54,4),0)</f>
        <v>109</v>
      </c>
      <c r="AH34">
        <f>ROUND(D34*INDEX($N$19:$N$54,5),0)</f>
        <v>106</v>
      </c>
      <c r="AI34">
        <f>ROUND(D34*INDEX($N$19:$N$54,6),0)</f>
        <v>103</v>
      </c>
      <c r="AJ34">
        <f>ROUND(D34*INDEX($N$19:$N$54,7),0)</f>
        <v>100</v>
      </c>
      <c r="AK34">
        <f>ROUND(D34*INDEX($N$19:$N$54,8),0)</f>
        <v>97</v>
      </c>
      <c r="AL34">
        <f>ROUND(D34*INDEX($N$19:$N$54,9),0)</f>
        <v>94</v>
      </c>
      <c r="AM34">
        <f>ROUND(D34*INDEX($N$19:$N$54,10),0)</f>
        <v>91</v>
      </c>
      <c r="AN34">
        <f>ROUND(D34*INDEX($N$19:$N$54,11),0)</f>
        <v>88</v>
      </c>
      <c r="AO34">
        <f>ROUND(D34*INDEX($N$19:$N$54,12),0)</f>
        <v>86</v>
      </c>
      <c r="AP34">
        <f>ROUND(D34*INDEX($N$19:$N$54,13),0)</f>
        <v>83</v>
      </c>
      <c r="AQ34">
        <f>ROUND(D34*INDEX($N$19:$N$54,14),0)</f>
        <v>81</v>
      </c>
      <c r="AR34">
        <f>ROUND(D34*INDEX($N$19:$N$54,15),0)</f>
        <v>78</v>
      </c>
      <c r="AS34">
        <f>ROUND(D34*INDEX($N$19:$N$54,16),0)</f>
        <v>76</v>
      </c>
      <c r="AT34">
        <f>ROUND(D34*INDEX($N$19:$N$54,17),0)</f>
        <v>74</v>
      </c>
      <c r="AU34">
        <f>ROUND(D34*INDEX($N$19:$N$54,18),0)</f>
        <v>71</v>
      </c>
      <c r="AV34">
        <f>ROUND(D34*INDEX($N$19:$N$54,19),0)</f>
        <v>69</v>
      </c>
      <c r="AW34">
        <f>ROUND(D34*INDEX($N$19:$N$54,20),0)</f>
        <v>67</v>
      </c>
      <c r="AX34">
        <f>ROUND(D34*INDEX($N$19:$N$54,21),0)</f>
        <v>65</v>
      </c>
    </row>
    <row r="35">
      <c r="A35" t="inlineStr">
        <is>
          <t>2027-07-01</t>
        </is>
      </c>
      <c r="B35">
        <v>2</v>
      </c>
      <c r="C35" t="inlineStr">
        <is>
          <t>phase_2_marketplace_activation</t>
        </is>
      </c>
      <c r="D35">
        <f>ROUND(MAX(100,I35*J35*K35),0)</f>
        <v>2343</v>
      </c>
      <c r="E35">
        <f>MAX(0,F35-D35)</f>
        <v>1703</v>
      </c>
      <c r="F35">
        <f>ROUND(SUM($AE$19:$AE$54),0)</f>
        <v>4046</v>
      </c>
      <c r="G35" t="inlineStr">
        <is>
          <t/>
        </is>
      </c>
      <c r="H35">
        <f>IF($B35=1,$B$6,IF($B35=2,$B$7,$B$8))</f>
        <v>0.05</v>
      </c>
      <c r="I35">
        <f>I34*(1+H35)</f>
        <v>2548.97</v>
      </c>
      <c r="J35">
        <v>0.891844</v>
      </c>
      <c r="K35">
        <f>MAX(0.85,1+_xlfn.NORM.INV(RAND(),0,$B$15*0.35))</f>
        <v>1.030481</v>
      </c>
      <c r="L35" t="inlineStr">
        <is>
          <t/>
        </is>
      </c>
      <c r="M35">
        <v>16</v>
      </c>
      <c r="N35">
        <f>IF($M35=0,1,IF($M35=1,$B$11,IF($M35=2,$B$12,IF($M35=3,$B$13,$B$13*POWER($B$14,$M35-3)))))</f>
        <v>0.0336513545082787</v>
      </c>
      <c r="O35" t="inlineStr">
        <is>
          <t/>
        </is>
      </c>
      <c r="P35" t="inlineStr">
        <is>
          <t/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/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>
        <f>ROUND(D35*INDEX($N$19:$N$54,1),0)</f>
        <v>2343</v>
      </c>
      <c r="AF35">
        <f>ROUND(D35*INDEX($N$19:$N$54,2),0)</f>
        <v>586</v>
      </c>
      <c r="AG35">
        <f>ROUND(D35*INDEX($N$19:$N$54,3),0)</f>
        <v>281</v>
      </c>
      <c r="AH35">
        <f>ROUND(D35*INDEX($N$19:$N$54,4),0)</f>
        <v>117</v>
      </c>
      <c r="AI35">
        <f>ROUND(D35*INDEX($N$19:$N$54,5),0)</f>
        <v>114</v>
      </c>
      <c r="AJ35">
        <f>ROUND(D35*INDEX($N$19:$N$54,6),0)</f>
        <v>110</v>
      </c>
      <c r="AK35">
        <f>ROUND(D35*INDEX($N$19:$N$54,7),0)</f>
        <v>107</v>
      </c>
      <c r="AL35">
        <f>ROUND(D35*INDEX($N$19:$N$54,8),0)</f>
        <v>104</v>
      </c>
      <c r="AM35">
        <f>ROUND(D35*INDEX($N$19:$N$54,9),0)</f>
        <v>101</v>
      </c>
      <c r="AN35">
        <f>ROUND(D35*INDEX($N$19:$N$54,10),0)</f>
        <v>98</v>
      </c>
      <c r="AO35">
        <f>ROUND(D35*INDEX($N$19:$N$54,11),0)</f>
        <v>95</v>
      </c>
      <c r="AP35">
        <f>ROUND(D35*INDEX($N$19:$N$54,12),0)</f>
        <v>92</v>
      </c>
      <c r="AQ35">
        <f>ROUND(D35*INDEX($N$19:$N$54,13),0)</f>
        <v>89</v>
      </c>
      <c r="AR35">
        <f>ROUND(D35*INDEX($N$19:$N$54,14),0)</f>
        <v>86</v>
      </c>
      <c r="AS35">
        <f>ROUND(D35*INDEX($N$19:$N$54,15),0)</f>
        <v>84</v>
      </c>
      <c r="AT35">
        <f>ROUND(D35*INDEX($N$19:$N$54,16),0)</f>
        <v>81</v>
      </c>
      <c r="AU35">
        <f>ROUND(D35*INDEX($N$19:$N$54,17),0)</f>
        <v>79</v>
      </c>
      <c r="AV35">
        <f>ROUND(D35*INDEX($N$19:$N$54,18),0)</f>
        <v>76</v>
      </c>
      <c r="AW35">
        <f>ROUND(D35*INDEX($N$19:$N$54,19),0)</f>
        <v>74</v>
      </c>
      <c r="AX35">
        <f>ROUND(D35*INDEX($N$19:$N$54,20),0)</f>
        <v>72</v>
      </c>
    </row>
    <row r="36">
      <c r="A36" t="inlineStr">
        <is>
          <t>2027-08-01</t>
        </is>
      </c>
      <c r="B36">
        <v>2</v>
      </c>
      <c r="C36" t="inlineStr">
        <is>
          <t>phase_2_marketplace_activation</t>
        </is>
      </c>
      <c r="D36">
        <f>ROUND(MAX(100,I36*J36*K36),0)</f>
        <v>2381</v>
      </c>
      <c r="E36">
        <f>MAX(0,F36-D36)</f>
        <v>1815</v>
      </c>
      <c r="F36">
        <f>ROUND(SUM($AF$19:$AF$54),0)</f>
        <v>4196</v>
      </c>
      <c r="G36" t="inlineStr">
        <is>
          <t/>
        </is>
      </c>
      <c r="H36">
        <f>IF($B36=1,$B$6,IF($B36=2,$B$7,$B$8))</f>
        <v>0.05</v>
      </c>
      <c r="I36">
        <f>I35*(1+H36)</f>
        <v>2676.41</v>
      </c>
      <c r="J36">
        <v>0.921643</v>
      </c>
      <c r="K36">
        <f>MAX(0.85,1+_xlfn.NORM.INV(RAND(),0,$B$15*0.35))</f>
        <v>0.965328</v>
      </c>
      <c r="L36" t="inlineStr">
        <is>
          <t/>
        </is>
      </c>
      <c r="M36">
        <v>17</v>
      </c>
      <c r="N36">
        <f>IF($M36=0,1,IF($M36=1,$B$11,IF($M36=2,$B$12,IF($M36=3,$B$13,$B$13*POWER($B$14,$M36-3)))))</f>
        <v>0.0326418138730304</v>
      </c>
      <c r="O36" t="inlineStr">
        <is>
          <t/>
        </is>
      </c>
      <c r="P36" t="inlineStr">
        <is>
          <t/>
        </is>
      </c>
      <c r="Q36" t="inlineStr">
        <is>
          <t/>
        </is>
      </c>
      <c r="R36" t="inlineStr">
        <is>
          <t/>
        </is>
      </c>
      <c r="S36" t="inlineStr">
        <is>
          <t/>
        </is>
      </c>
      <c r="T36" t="inlineStr">
        <is>
          <t/>
        </is>
      </c>
      <c r="U36" t="inlineStr">
        <is>
          <t/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/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/>
        </is>
      </c>
      <c r="AF36">
        <f>ROUND(D36*INDEX($N$19:$N$54,1),0)</f>
        <v>2381</v>
      </c>
      <c r="AG36">
        <f>ROUND(D36*INDEX($N$19:$N$54,2),0)</f>
        <v>595</v>
      </c>
      <c r="AH36">
        <f>ROUND(D36*INDEX($N$19:$N$54,3),0)</f>
        <v>286</v>
      </c>
      <c r="AI36">
        <f>ROUND(D36*INDEX($N$19:$N$54,4),0)</f>
        <v>119</v>
      </c>
      <c r="AJ36">
        <f>ROUND(D36*INDEX($N$19:$N$54,5),0)</f>
        <v>115</v>
      </c>
      <c r="AK36">
        <f>ROUND(D36*INDEX($N$19:$N$54,6),0)</f>
        <v>112</v>
      </c>
      <c r="AL36">
        <f>ROUND(D36*INDEX($N$19:$N$54,7),0)</f>
        <v>109</v>
      </c>
      <c r="AM36">
        <f>ROUND(D36*INDEX($N$19:$N$54,8),0)</f>
        <v>105</v>
      </c>
      <c r="AN36">
        <f>ROUND(D36*INDEX($N$19:$N$54,9),0)</f>
        <v>102</v>
      </c>
      <c r="AO36">
        <f>ROUND(D36*INDEX($N$19:$N$54,10),0)</f>
        <v>99</v>
      </c>
      <c r="AP36">
        <f>ROUND(D36*INDEX($N$19:$N$54,11),0)</f>
        <v>96</v>
      </c>
      <c r="AQ36">
        <f>ROUND(D36*INDEX($N$19:$N$54,12),0)</f>
        <v>93</v>
      </c>
      <c r="AR36">
        <f>ROUND(D36*INDEX($N$19:$N$54,13),0)</f>
        <v>91</v>
      </c>
      <c r="AS36">
        <f>ROUND(D36*INDEX($N$19:$N$54,14),0)</f>
        <v>88</v>
      </c>
      <c r="AT36">
        <f>ROUND(D36*INDEX($N$19:$N$54,15),0)</f>
        <v>85</v>
      </c>
      <c r="AU36">
        <f>ROUND(D36*INDEX($N$19:$N$54,16),0)</f>
        <v>83</v>
      </c>
      <c r="AV36">
        <f>ROUND(D36*INDEX($N$19:$N$54,17),0)</f>
        <v>80</v>
      </c>
      <c r="AW36">
        <f>ROUND(D36*INDEX($N$19:$N$54,18),0)</f>
        <v>78</v>
      </c>
      <c r="AX36">
        <f>ROUND(D36*INDEX($N$19:$N$54,19),0)</f>
        <v>75</v>
      </c>
    </row>
    <row r="37">
      <c r="A37" t="inlineStr">
        <is>
          <t>2027-09-01</t>
        </is>
      </c>
      <c r="B37">
        <v>2</v>
      </c>
      <c r="C37" t="inlineStr">
        <is>
          <t>phase_2_marketplace_activation</t>
        </is>
      </c>
      <c r="D37">
        <f>ROUND(MAX(100,I37*J37*K37),0)</f>
        <v>2478</v>
      </c>
      <c r="E37">
        <f>MAX(0,F37-D37)</f>
        <v>1923</v>
      </c>
      <c r="F37">
        <f>ROUND(SUM($AG$19:$AG$54),0)</f>
        <v>4401</v>
      </c>
      <c r="G37" t="inlineStr">
        <is>
          <t/>
        </is>
      </c>
      <c r="H37">
        <f>IF($B37=1,$B$6,IF($B37=2,$B$7,$B$8))</f>
        <v>0.05</v>
      </c>
      <c r="I37">
        <f>I36*(1+H37)</f>
        <v>2810.24</v>
      </c>
      <c r="J37">
        <v>0.885988</v>
      </c>
      <c r="K37">
        <f>MAX(0.85,1+_xlfn.NORM.INV(RAND(),0,$B$15*0.35))</f>
        <v>0.995076</v>
      </c>
      <c r="L37" t="inlineStr">
        <is>
          <t/>
        </is>
      </c>
      <c r="M37">
        <v>18</v>
      </c>
      <c r="N37">
        <f>IF($M37=0,1,IF($M37=1,$B$11,IF($M37=2,$B$12,IF($M37=3,$B$13,$B$13*POWER($B$14,$M37-3)))))</f>
        <v>0.0316625594568395</v>
      </c>
      <c r="O37" t="inlineStr">
        <is>
          <t/>
        </is>
      </c>
      <c r="P37" t="inlineStr">
        <is>
          <t/>
        </is>
      </c>
      <c r="Q37" t="inlineStr">
        <is>
          <t/>
        </is>
      </c>
      <c r="R37" t="inlineStr">
        <is>
          <t/>
        </is>
      </c>
      <c r="S37" t="inlineStr">
        <is>
          <t/>
        </is>
      </c>
      <c r="T37" t="inlineStr">
        <is>
          <t/>
        </is>
      </c>
      <c r="U37" t="inlineStr">
        <is>
          <t/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/>
        </is>
      </c>
      <c r="AA37" t="inlineStr">
        <is>
          <t/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/>
        </is>
      </c>
      <c r="AF37" t="inlineStr">
        <is>
          <t/>
        </is>
      </c>
      <c r="AG37">
        <f>ROUND(D37*INDEX($N$19:$N$54,1),0)</f>
        <v>2478</v>
      </c>
      <c r="AH37">
        <f>ROUND(D37*INDEX($N$19:$N$54,2),0)</f>
        <v>620</v>
      </c>
      <c r="AI37">
        <f>ROUND(D37*INDEX($N$19:$N$54,3),0)</f>
        <v>297</v>
      </c>
      <c r="AJ37">
        <f>ROUND(D37*INDEX($N$19:$N$54,4),0)</f>
        <v>124</v>
      </c>
      <c r="AK37">
        <f>ROUND(D37*INDEX($N$19:$N$54,5),0)</f>
        <v>120</v>
      </c>
      <c r="AL37">
        <f>ROUND(D37*INDEX($N$19:$N$54,6),0)</f>
        <v>117</v>
      </c>
      <c r="AM37">
        <f>ROUND(D37*INDEX($N$19:$N$54,7),0)</f>
        <v>113</v>
      </c>
      <c r="AN37">
        <f>ROUND(D37*INDEX($N$19:$N$54,8),0)</f>
        <v>110</v>
      </c>
      <c r="AO37">
        <f>ROUND(D37*INDEX($N$19:$N$54,9),0)</f>
        <v>106</v>
      </c>
      <c r="AP37">
        <f>ROUND(D37*INDEX($N$19:$N$54,10),0)</f>
        <v>103</v>
      </c>
      <c r="AQ37">
        <f>ROUND(D37*INDEX($N$19:$N$54,11),0)</f>
        <v>100</v>
      </c>
      <c r="AR37">
        <f>ROUND(D37*INDEX($N$19:$N$54,12),0)</f>
        <v>97</v>
      </c>
      <c r="AS37">
        <f>ROUND(D37*INDEX($N$19:$N$54,13),0)</f>
        <v>94</v>
      </c>
      <c r="AT37">
        <f>ROUND(D37*INDEX($N$19:$N$54,14),0)</f>
        <v>91</v>
      </c>
      <c r="AU37">
        <f>ROUND(D37*INDEX($N$19:$N$54,15),0)</f>
        <v>89</v>
      </c>
      <c r="AV37">
        <f>ROUND(D37*INDEX($N$19:$N$54,16),0)</f>
        <v>86</v>
      </c>
      <c r="AW37">
        <f>ROUND(D37*INDEX($N$19:$N$54,17),0)</f>
        <v>83</v>
      </c>
      <c r="AX37">
        <f>ROUND(D37*INDEX($N$19:$N$54,18),0)</f>
        <v>81</v>
      </c>
    </row>
    <row r="38">
      <c r="A38" t="inlineStr">
        <is>
          <t>2027-10-01</t>
        </is>
      </c>
      <c r="B38">
        <v>2</v>
      </c>
      <c r="C38" t="inlineStr">
        <is>
          <t>phase_2_marketplace_activation</t>
        </is>
      </c>
      <c r="D38">
        <f>ROUND(MAX(100,I38*J38*K38),0)</f>
        <v>2739</v>
      </c>
      <c r="E38">
        <f>MAX(0,F38-D38)</f>
        <v>2039</v>
      </c>
      <c r="F38">
        <f>ROUND(SUM($AH$19:$AH$54),0)</f>
        <v>4778</v>
      </c>
      <c r="G38" t="inlineStr">
        <is>
          <t/>
        </is>
      </c>
      <c r="H38">
        <f>IF($B38=1,$B$6,IF($B38=2,$B$7,$B$8))</f>
        <v>0.05</v>
      </c>
      <c r="I38">
        <f>I37*(1+H38)</f>
        <v>2950.75</v>
      </c>
      <c r="J38">
        <v>0.911037</v>
      </c>
      <c r="K38">
        <f>MAX(0.85,1+_xlfn.NORM.INV(RAND(),0,$B$15*0.35))</f>
        <v>1.018879</v>
      </c>
      <c r="L38" t="inlineStr">
        <is>
          <t/>
        </is>
      </c>
      <c r="M38">
        <v>19</v>
      </c>
      <c r="N38">
        <f>IF($M38=0,1,IF($M38=1,$B$11,IF($M38=2,$B$12,IF($M38=3,$B$13,$B$13*POWER($B$14,$M38-3)))))</f>
        <v>0.0307126826731343</v>
      </c>
      <c r="O38" t="inlineStr">
        <is>
          <t/>
        </is>
      </c>
      <c r="P38" t="inlineStr">
        <is>
          <t/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/>
        </is>
      </c>
      <c r="AF38" t="inlineStr">
        <is>
          <t/>
        </is>
      </c>
      <c r="AG38" t="inlineStr">
        <is>
          <t/>
        </is>
      </c>
      <c r="AH38">
        <f>ROUND(D38*INDEX($N$19:$N$54,1),0)</f>
        <v>2739</v>
      </c>
      <c r="AI38">
        <f>ROUND(D38*INDEX($N$19:$N$54,2),0)</f>
        <v>685</v>
      </c>
      <c r="AJ38">
        <f>ROUND(D38*INDEX($N$19:$N$54,3),0)</f>
        <v>329</v>
      </c>
      <c r="AK38">
        <f>ROUND(D38*INDEX($N$19:$N$54,4),0)</f>
        <v>137</v>
      </c>
      <c r="AL38">
        <f>ROUND(D38*INDEX($N$19:$N$54,5),0)</f>
        <v>133</v>
      </c>
      <c r="AM38">
        <f>ROUND(D38*INDEX($N$19:$N$54,6),0)</f>
        <v>129</v>
      </c>
      <c r="AN38">
        <f>ROUND(D38*INDEX($N$19:$N$54,7),0)</f>
        <v>125</v>
      </c>
      <c r="AO38">
        <f>ROUND(D38*INDEX($N$19:$N$54,8),0)</f>
        <v>121</v>
      </c>
      <c r="AP38">
        <f>ROUND(D38*INDEX($N$19:$N$54,9),0)</f>
        <v>118</v>
      </c>
      <c r="AQ38">
        <f>ROUND(D38*INDEX($N$19:$N$54,10),0)</f>
        <v>114</v>
      </c>
      <c r="AR38">
        <f>ROUND(D38*INDEX($N$19:$N$54,11),0)</f>
        <v>111</v>
      </c>
      <c r="AS38">
        <f>ROUND(D38*INDEX($N$19:$N$54,12),0)</f>
        <v>107</v>
      </c>
      <c r="AT38">
        <f>ROUND(D38*INDEX($N$19:$N$54,13),0)</f>
        <v>104</v>
      </c>
      <c r="AU38">
        <f>ROUND(D38*INDEX($N$19:$N$54,14),0)</f>
        <v>101</v>
      </c>
      <c r="AV38">
        <f>ROUND(D38*INDEX($N$19:$N$54,15),0)</f>
        <v>98</v>
      </c>
      <c r="AW38">
        <f>ROUND(D38*INDEX($N$19:$N$54,16),0)</f>
        <v>95</v>
      </c>
      <c r="AX38">
        <f>ROUND(D38*INDEX($N$19:$N$54,17),0)</f>
        <v>92</v>
      </c>
    </row>
    <row r="39">
      <c r="A39" t="inlineStr">
        <is>
          <t>2027-11-01</t>
        </is>
      </c>
      <c r="B39">
        <v>2</v>
      </c>
      <c r="C39" t="inlineStr">
        <is>
          <t>phase_2_marketplace_activation</t>
        </is>
      </c>
      <c r="D39">
        <f>ROUND(MAX(100,I39*J39*K39),0)</f>
        <v>4135</v>
      </c>
      <c r="E39">
        <f>MAX(0,F39-D39)</f>
        <v>2200</v>
      </c>
      <c r="F39">
        <f>ROUND(SUM($AI$19:$AI$54),0)</f>
        <v>6335</v>
      </c>
      <c r="G39" t="inlineStr">
        <is>
          <t/>
        </is>
      </c>
      <c r="H39">
        <f>IF($B39=1,$B$6,IF($B39=2,$B$7,$B$8))</f>
        <v>0.05</v>
      </c>
      <c r="I39">
        <f>I38*(1+H39)</f>
        <v>3098.28</v>
      </c>
      <c r="J39">
        <v>1.344002</v>
      </c>
      <c r="K39">
        <f>MAX(0.85,1+_xlfn.NORM.INV(RAND(),0,$B$15*0.35))</f>
        <v>0.993049</v>
      </c>
      <c r="L39" t="inlineStr">
        <is>
          <t/>
        </is>
      </c>
      <c r="M39">
        <v>20</v>
      </c>
      <c r="N39">
        <f>IF($M39=0,1,IF($M39=1,$B$11,IF($M39=2,$B$12,IF($M39=3,$B$13,$B$13*POWER($B$14,$M39-3)))))</f>
        <v>0.0297913021929402</v>
      </c>
      <c r="O39" t="inlineStr">
        <is>
          <t/>
        </is>
      </c>
      <c r="P39" t="inlineStr">
        <is>
          <t/>
        </is>
      </c>
      <c r="Q39" t="inlineStr">
        <is>
          <t/>
        </is>
      </c>
      <c r="R39" t="inlineStr">
        <is>
          <t/>
        </is>
      </c>
      <c r="S39" t="inlineStr">
        <is>
          <t/>
        </is>
      </c>
      <c r="T39" t="inlineStr">
        <is>
          <t/>
        </is>
      </c>
      <c r="U39" t="inlineStr">
        <is>
          <t/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/>
        </is>
      </c>
      <c r="AF39" t="inlineStr">
        <is>
          <t/>
        </is>
      </c>
      <c r="AG39" t="inlineStr">
        <is>
          <t/>
        </is>
      </c>
      <c r="AH39" t="inlineStr">
        <is>
          <t/>
        </is>
      </c>
      <c r="AI39">
        <f>ROUND(D39*INDEX($N$19:$N$54,1),0)</f>
        <v>4135</v>
      </c>
      <c r="AJ39">
        <f>ROUND(D39*INDEX($N$19:$N$54,2),0)</f>
        <v>1034</v>
      </c>
      <c r="AK39">
        <f>ROUND(D39*INDEX($N$19:$N$54,3),0)</f>
        <v>496</v>
      </c>
      <c r="AL39">
        <f>ROUND(D39*INDEX($N$19:$N$54,4),0)</f>
        <v>207</v>
      </c>
      <c r="AM39">
        <f>ROUND(D39*INDEX($N$19:$N$54,5),0)</f>
        <v>201</v>
      </c>
      <c r="AN39">
        <f>ROUND(D39*INDEX($N$19:$N$54,6),0)</f>
        <v>195</v>
      </c>
      <c r="AO39">
        <f>ROUND(D39*INDEX($N$19:$N$54,7),0)</f>
        <v>189</v>
      </c>
      <c r="AP39">
        <f>ROUND(D39*INDEX($N$19:$N$54,8),0)</f>
        <v>183</v>
      </c>
      <c r="AQ39">
        <f>ROUND(D39*INDEX($N$19:$N$54,9),0)</f>
        <v>178</v>
      </c>
      <c r="AR39">
        <f>ROUND(D39*INDEX($N$19:$N$54,10),0)</f>
        <v>172</v>
      </c>
      <c r="AS39">
        <f>ROUND(D39*INDEX($N$19:$N$54,11),0)</f>
        <v>167</v>
      </c>
      <c r="AT39">
        <f>ROUND(D39*INDEX($N$19:$N$54,12),0)</f>
        <v>162</v>
      </c>
      <c r="AU39">
        <f>ROUND(D39*INDEX($N$19:$N$54,13),0)</f>
        <v>157</v>
      </c>
      <c r="AV39">
        <f>ROUND(D39*INDEX($N$19:$N$54,14),0)</f>
        <v>152</v>
      </c>
      <c r="AW39">
        <f>ROUND(D39*INDEX($N$19:$N$54,15),0)</f>
        <v>148</v>
      </c>
      <c r="AX39">
        <f>ROUND(D39*INDEX($N$19:$N$54,16),0)</f>
        <v>143</v>
      </c>
    </row>
    <row r="40">
      <c r="A40" t="inlineStr">
        <is>
          <t>2027-12-01</t>
        </is>
      </c>
      <c r="B40">
        <v>2</v>
      </c>
      <c r="C40" t="inlineStr">
        <is>
          <t>phase_2_marketplace_activation</t>
        </is>
      </c>
      <c r="D40">
        <f>ROUND(MAX(100,I40*J40*K40),0)</f>
        <v>8231</v>
      </c>
      <c r="E40">
        <f>MAX(0,F40-D40)</f>
        <v>2670</v>
      </c>
      <c r="F40">
        <f>ROUND(SUM($AJ$19:$AJ$54),0)</f>
        <v>10901</v>
      </c>
      <c r="G40" t="inlineStr">
        <is>
          <t/>
        </is>
      </c>
      <c r="H40">
        <f>IF($B40=1,$B$6,IF($B40=2,$B$7,$B$8))</f>
        <v>0.05</v>
      </c>
      <c r="I40">
        <f>I39*(1+H40)</f>
        <v>3253.2</v>
      </c>
      <c r="J40">
        <v>2.521434</v>
      </c>
      <c r="K40">
        <f>MAX(0.85,1+_xlfn.NORM.INV(RAND(),0,$B$15*0.35))</f>
        <v>1.003427</v>
      </c>
      <c r="L40" t="inlineStr">
        <is>
          <t/>
        </is>
      </c>
      <c r="M40">
        <v>21</v>
      </c>
      <c r="N40">
        <f>IF($M40=0,1,IF($M40=1,$B$11,IF($M40=2,$B$12,IF($M40=3,$B$13,$B$13*POWER($B$14,$M40-3)))))</f>
        <v>0.028897563127152</v>
      </c>
      <c r="O40" t="inlineStr">
        <is>
          <t/>
        </is>
      </c>
      <c r="P40" t="inlineStr">
        <is>
          <t/>
        </is>
      </c>
      <c r="Q40" t="inlineStr">
        <is>
          <t/>
        </is>
      </c>
      <c r="R40" t="inlineStr">
        <is>
          <t/>
        </is>
      </c>
      <c r="S40" t="inlineStr">
        <is>
          <t/>
        </is>
      </c>
      <c r="T40" t="inlineStr">
        <is>
          <t/>
        </is>
      </c>
      <c r="U40" t="inlineStr">
        <is>
          <t/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/>
        </is>
      </c>
      <c r="AA40" t="inlineStr">
        <is>
          <t/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/>
        </is>
      </c>
      <c r="AF40" t="inlineStr">
        <is>
          <t/>
        </is>
      </c>
      <c r="AG40" t="inlineStr">
        <is>
          <t/>
        </is>
      </c>
      <c r="AH40" t="inlineStr">
        <is>
          <t/>
        </is>
      </c>
      <c r="AI40" t="inlineStr">
        <is>
          <t/>
        </is>
      </c>
      <c r="AJ40">
        <f>ROUND(D40*INDEX($N$19:$N$54,1),0)</f>
        <v>8231</v>
      </c>
      <c r="AK40">
        <f>ROUND(D40*INDEX($N$19:$N$54,2),0)</f>
        <v>2058</v>
      </c>
      <c r="AL40">
        <f>ROUND(D40*INDEX($N$19:$N$54,3),0)</f>
        <v>988</v>
      </c>
      <c r="AM40">
        <f>ROUND(D40*INDEX($N$19:$N$54,4),0)</f>
        <v>412</v>
      </c>
      <c r="AN40">
        <f>ROUND(D40*INDEX($N$19:$N$54,5),0)</f>
        <v>399</v>
      </c>
      <c r="AO40">
        <f>ROUND(D40*INDEX($N$19:$N$54,6),0)</f>
        <v>387</v>
      </c>
      <c r="AP40">
        <f>ROUND(D40*INDEX($N$19:$N$54,7),0)</f>
        <v>376</v>
      </c>
      <c r="AQ40">
        <f>ROUND(D40*INDEX($N$19:$N$54,8),0)</f>
        <v>364</v>
      </c>
      <c r="AR40">
        <f>ROUND(D40*INDEX($N$19:$N$54,9),0)</f>
        <v>353</v>
      </c>
      <c r="AS40">
        <f>ROUND(D40*INDEX($N$19:$N$54,10),0)</f>
        <v>343</v>
      </c>
      <c r="AT40">
        <f>ROUND(D40*INDEX($N$19:$N$54,11),0)</f>
        <v>333</v>
      </c>
      <c r="AU40">
        <f>ROUND(D40*INDEX($N$19:$N$54,12),0)</f>
        <v>323</v>
      </c>
      <c r="AV40">
        <f>ROUND(D40*INDEX($N$19:$N$54,13),0)</f>
        <v>313</v>
      </c>
      <c r="AW40">
        <f>ROUND(D40*INDEX($N$19:$N$54,14),0)</f>
        <v>303</v>
      </c>
      <c r="AX40">
        <f>ROUND(D40*INDEX($N$19:$N$54,15),0)</f>
        <v>294</v>
      </c>
    </row>
    <row r="41">
      <c r="A41" t="inlineStr">
        <is>
          <t>2028-01-01</t>
        </is>
      </c>
      <c r="B41">
        <v>2</v>
      </c>
      <c r="C41" t="inlineStr">
        <is>
          <t>phase_2_marketplace_activation</t>
        </is>
      </c>
      <c r="D41">
        <f>ROUND(MAX(100,I41*J41*K41),0)</f>
        <v>2720</v>
      </c>
      <c r="E41">
        <f>MAX(0,F41-D41)</f>
        <v>3957</v>
      </c>
      <c r="F41">
        <f>ROUND(SUM($AK$19:$AK$54),0)</f>
        <v>6677</v>
      </c>
      <c r="G41" t="inlineStr">
        <is>
          <t/>
        </is>
      </c>
      <c r="H41">
        <f>IF($B41=1,$B$6,IF($B41=2,$B$7,$B$8))</f>
        <v>0.05</v>
      </c>
      <c r="I41">
        <f>I40*(1+H41)</f>
        <v>3415.86</v>
      </c>
      <c r="J41">
        <v>0.805962</v>
      </c>
      <c r="K41">
        <f>MAX(0.85,1+_xlfn.NORM.INV(RAND(),0,$B$15*0.35))</f>
        <v>0.988077</v>
      </c>
      <c r="L41" t="inlineStr">
        <is>
          <t/>
        </is>
      </c>
      <c r="M41">
        <v>22</v>
      </c>
      <c r="N41">
        <f>IF($M41=0,1,IF($M41=1,$B$11,IF($M41=2,$B$12,IF($M41=3,$B$13,$B$13*POWER($B$14,$M41-3)))))</f>
        <v>0.0280306362333375</v>
      </c>
      <c r="O41" t="inlineStr">
        <is>
          <t/>
        </is>
      </c>
      <c r="P41" t="inlineStr">
        <is>
          <t/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/>
        </is>
      </c>
      <c r="AF41" t="inlineStr">
        <is>
          <t/>
        </is>
      </c>
      <c r="AG41" t="inlineStr">
        <is>
          <t/>
        </is>
      </c>
      <c r="AH41" t="inlineStr">
        <is>
          <t/>
        </is>
      </c>
      <c r="AI41" t="inlineStr">
        <is>
          <t/>
        </is>
      </c>
      <c r="AJ41" t="inlineStr">
        <is>
          <t/>
        </is>
      </c>
      <c r="AK41">
        <f>ROUND(D41*INDEX($N$19:$N$54,1),0)</f>
        <v>2720</v>
      </c>
      <c r="AL41">
        <f>ROUND(D41*INDEX($N$19:$N$54,2),0)</f>
        <v>680</v>
      </c>
      <c r="AM41">
        <f>ROUND(D41*INDEX($N$19:$N$54,3),0)</f>
        <v>326</v>
      </c>
      <c r="AN41">
        <f>ROUND(D41*INDEX($N$19:$N$54,4),0)</f>
        <v>136</v>
      </c>
      <c r="AO41">
        <f>ROUND(D41*INDEX($N$19:$N$54,5),0)</f>
        <v>132</v>
      </c>
      <c r="AP41">
        <f>ROUND(D41*INDEX($N$19:$N$54,6),0)</f>
        <v>128</v>
      </c>
      <c r="AQ41">
        <f>ROUND(D41*INDEX($N$19:$N$54,7),0)</f>
        <v>124</v>
      </c>
      <c r="AR41">
        <f>ROUND(D41*INDEX($N$19:$N$54,8),0)</f>
        <v>120</v>
      </c>
      <c r="AS41">
        <f>ROUND(D41*INDEX($N$19:$N$54,9),0)</f>
        <v>117</v>
      </c>
      <c r="AT41">
        <f>ROUND(D41*INDEX($N$19:$N$54,10),0)</f>
        <v>113</v>
      </c>
      <c r="AU41">
        <f>ROUND(D41*INDEX($N$19:$N$54,11),0)</f>
        <v>110</v>
      </c>
      <c r="AV41">
        <f>ROUND(D41*INDEX($N$19:$N$54,12),0)</f>
        <v>107</v>
      </c>
      <c r="AW41">
        <f>ROUND(D41*INDEX($N$19:$N$54,13),0)</f>
        <v>103</v>
      </c>
      <c r="AX41">
        <f>ROUND(D41*INDEX($N$19:$N$54,14),0)</f>
        <v>100</v>
      </c>
    </row>
    <row r="42">
      <c r="A42" t="inlineStr">
        <is>
          <t>2028-02-01</t>
        </is>
      </c>
      <c r="B42">
        <v>2</v>
      </c>
      <c r="C42" t="inlineStr">
        <is>
          <t>phase_2_marketplace_activation</t>
        </is>
      </c>
      <c r="D42">
        <f>ROUND(MAX(100,I42*J42*K42),0)</f>
        <v>3535</v>
      </c>
      <c r="E42">
        <f>MAX(0,F42-D42)</f>
        <v>3238</v>
      </c>
      <c r="F42">
        <f>ROUND(SUM($AL$19:$AL$54),0)</f>
        <v>6773</v>
      </c>
      <c r="G42" t="inlineStr">
        <is>
          <t/>
        </is>
      </c>
      <c r="H42">
        <f>IF($B42=1,$B$6,IF($B42=2,$B$7,$B$8))</f>
        <v>0.05</v>
      </c>
      <c r="I42">
        <f>I41*(1+H42)</f>
        <v>3586.65</v>
      </c>
      <c r="J42">
        <v>0.9952</v>
      </c>
      <c r="K42">
        <f>MAX(0.85,1+_xlfn.NORM.INV(RAND(),0,$B$15*0.35))</f>
        <v>0.99026</v>
      </c>
      <c r="L42" t="inlineStr">
        <is>
          <t/>
        </is>
      </c>
      <c r="M42">
        <v>23</v>
      </c>
      <c r="N42">
        <f>IF($M42=0,1,IF($M42=1,$B$11,IF($M42=2,$B$12,IF($M42=3,$B$13,$B$13*POWER($B$14,$M42-3)))))</f>
        <v>0.0271897171463374</v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/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/>
        </is>
      </c>
      <c r="AF42" t="inlineStr">
        <is>
          <t/>
        </is>
      </c>
      <c r="AG42" t="inlineStr">
        <is>
          <t/>
        </is>
      </c>
      <c r="AH42" t="inlineStr">
        <is>
          <t/>
        </is>
      </c>
      <c r="AI42" t="inlineStr">
        <is>
          <t/>
        </is>
      </c>
      <c r="AJ42" t="inlineStr">
        <is>
          <t/>
        </is>
      </c>
      <c r="AK42" t="inlineStr">
        <is>
          <t/>
        </is>
      </c>
      <c r="AL42">
        <f>ROUND(D42*INDEX($N$19:$N$54,1),0)</f>
        <v>3535</v>
      </c>
      <c r="AM42">
        <f>ROUND(D42*INDEX($N$19:$N$54,2),0)</f>
        <v>884</v>
      </c>
      <c r="AN42">
        <f>ROUND(D42*INDEX($N$19:$N$54,3),0)</f>
        <v>424</v>
      </c>
      <c r="AO42">
        <f>ROUND(D42*INDEX($N$19:$N$54,4),0)</f>
        <v>177</v>
      </c>
      <c r="AP42">
        <f>ROUND(D42*INDEX($N$19:$N$54,5),0)</f>
        <v>171</v>
      </c>
      <c r="AQ42">
        <f>ROUND(D42*INDEX($N$19:$N$54,6),0)</f>
        <v>166</v>
      </c>
      <c r="AR42">
        <f>ROUND(D42*INDEX($N$19:$N$54,7),0)</f>
        <v>161</v>
      </c>
      <c r="AS42">
        <f>ROUND(D42*INDEX($N$19:$N$54,8),0)</f>
        <v>156</v>
      </c>
      <c r="AT42">
        <f>ROUND(D42*INDEX($N$19:$N$54,9),0)</f>
        <v>152</v>
      </c>
      <c r="AU42">
        <f>ROUND(D42*INDEX($N$19:$N$54,10),0)</f>
        <v>147</v>
      </c>
      <c r="AV42">
        <f>ROUND(D42*INDEX($N$19:$N$54,11),0)</f>
        <v>143</v>
      </c>
      <c r="AW42">
        <f>ROUND(D42*INDEX($N$19:$N$54,12),0)</f>
        <v>139</v>
      </c>
      <c r="AX42">
        <f>ROUND(D42*INDEX($N$19:$N$54,13),0)</f>
        <v>134</v>
      </c>
    </row>
    <row r="43">
      <c r="A43" t="inlineStr">
        <is>
          <t>2028-03-01</t>
        </is>
      </c>
      <c r="B43">
        <v>3</v>
      </c>
      <c r="C43" t="inlineStr">
        <is>
          <t>phase_3_projection</t>
        </is>
      </c>
      <c r="D43">
        <f>ROUND(MAX(100,I43*J43*K43),0)</f>
        <v>3174</v>
      </c>
      <c r="E43">
        <f>MAX(0,F43-D43)</f>
        <v>3144</v>
      </c>
      <c r="F43">
        <f>ROUND(SUM($AM$19:$AM$54),0)</f>
        <v>6318</v>
      </c>
      <c r="G43" t="inlineStr">
        <is>
          <t/>
        </is>
      </c>
      <c r="H43">
        <f>IF($B43=1,$B$6,IF($B43=2,$B$7,$B$8))</f>
        <v>0.03</v>
      </c>
      <c r="I43">
        <f>I42*(1+H43)</f>
        <v>3694.25</v>
      </c>
      <c r="J43">
        <v>0.852079</v>
      </c>
      <c r="K43">
        <f>MAX(0.85,1+_xlfn.NORM.INV(RAND(),0,$B$15*0.35))</f>
        <v>1.008368</v>
      </c>
      <c r="L43" t="inlineStr">
        <is>
          <t/>
        </is>
      </c>
      <c r="M43">
        <v>24</v>
      </c>
      <c r="N43">
        <f>IF($M43=0,1,IF($M43=1,$B$11,IF($M43=2,$B$12,IF($M43=3,$B$13,$B$13*POWER($B$14,$M43-3)))))</f>
        <v>0.0263740256319472</v>
      </c>
      <c r="O43" t="inlineStr">
        <is>
          <t/>
        </is>
      </c>
      <c r="P43" t="inlineStr">
        <is>
          <t/>
        </is>
      </c>
      <c r="Q43" t="inlineStr">
        <is>
          <t/>
        </is>
      </c>
      <c r="R43" t="inlineStr">
        <is>
          <t/>
        </is>
      </c>
      <c r="S43" t="inlineStr">
        <is>
          <t/>
        </is>
      </c>
      <c r="T43" t="inlineStr">
        <is>
          <t/>
        </is>
      </c>
      <c r="U43" t="inlineStr">
        <is>
          <t/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/>
        </is>
      </c>
      <c r="AA43" t="inlineStr">
        <is>
          <t/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/>
        </is>
      </c>
      <c r="AF43" t="inlineStr">
        <is>
          <t/>
        </is>
      </c>
      <c r="AG43" t="inlineStr">
        <is>
          <t/>
        </is>
      </c>
      <c r="AH43" t="inlineStr">
        <is>
          <t/>
        </is>
      </c>
      <c r="AI43" t="inlineStr">
        <is>
          <t/>
        </is>
      </c>
      <c r="AJ43" t="inlineStr">
        <is>
          <t/>
        </is>
      </c>
      <c r="AK43" t="inlineStr">
        <is>
          <t/>
        </is>
      </c>
      <c r="AL43" t="inlineStr">
        <is>
          <t/>
        </is>
      </c>
      <c r="AM43">
        <f>ROUND(D43*INDEX($N$19:$N$54,1),0)</f>
        <v>3174</v>
      </c>
      <c r="AN43">
        <f>ROUND(D43*INDEX($N$19:$N$54,2),0)</f>
        <v>794</v>
      </c>
      <c r="AO43">
        <f>ROUND(D43*INDEX($N$19:$N$54,3),0)</f>
        <v>381</v>
      </c>
      <c r="AP43">
        <f>ROUND(D43*INDEX($N$19:$N$54,4),0)</f>
        <v>159</v>
      </c>
      <c r="AQ43">
        <f>ROUND(D43*INDEX($N$19:$N$54,5),0)</f>
        <v>154</v>
      </c>
      <c r="AR43">
        <f>ROUND(D43*INDEX($N$19:$N$54,6),0)</f>
        <v>149</v>
      </c>
      <c r="AS43">
        <f>ROUND(D43*INDEX($N$19:$N$54,7),0)</f>
        <v>145</v>
      </c>
      <c r="AT43">
        <f>ROUND(D43*INDEX($N$19:$N$54,8),0)</f>
        <v>140</v>
      </c>
      <c r="AU43">
        <f>ROUND(D43*INDEX($N$19:$N$54,9),0)</f>
        <v>136</v>
      </c>
      <c r="AV43">
        <f>ROUND(D43*INDEX($N$19:$N$54,10),0)</f>
        <v>132</v>
      </c>
      <c r="AW43">
        <f>ROUND(D43*INDEX($N$19:$N$54,11),0)</f>
        <v>128</v>
      </c>
      <c r="AX43">
        <f>ROUND(D43*INDEX($N$19:$N$54,12),0)</f>
        <v>124</v>
      </c>
    </row>
    <row r="44">
      <c r="A44" t="inlineStr">
        <is>
          <t>2028-04-01</t>
        </is>
      </c>
      <c r="B44">
        <v>3</v>
      </c>
      <c r="C44" t="inlineStr">
        <is>
          <t>phase_3_projection</t>
        </is>
      </c>
      <c r="D44">
        <f>ROUND(MAX(100,I44*J44*K44),0)</f>
        <v>3285</v>
      </c>
      <c r="E44">
        <f>MAX(0,F44-D44)</f>
        <v>3231</v>
      </c>
      <c r="F44">
        <f>ROUND(SUM($AN$19:$AN$54),0)</f>
        <v>6516</v>
      </c>
      <c r="G44" t="inlineStr">
        <is>
          <t/>
        </is>
      </c>
      <c r="H44">
        <f>IF($B44=1,$B$6,IF($B44=2,$B$7,$B$8))</f>
        <v>0.03</v>
      </c>
      <c r="I44">
        <f>I43*(1+H44)</f>
        <v>3805.08</v>
      </c>
      <c r="J44">
        <v>0.843513</v>
      </c>
      <c r="K44">
        <f>MAX(0.85,1+_xlfn.NORM.INV(RAND(),0,$B$15*0.35))</f>
        <v>1.023444</v>
      </c>
      <c r="L44" t="inlineStr">
        <is>
          <t/>
        </is>
      </c>
      <c r="M44">
        <v>25</v>
      </c>
      <c r="N44">
        <f>IF($M44=0,1,IF($M44=1,$B$11,IF($M44=2,$B$12,IF($M44=3,$B$13,$B$13*POWER($B$14,$M44-3)))))</f>
        <v>0.0255828048629888</v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/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/>
        </is>
      </c>
      <c r="AF44" t="inlineStr">
        <is>
          <t/>
        </is>
      </c>
      <c r="AG44" t="inlineStr">
        <is>
          <t/>
        </is>
      </c>
      <c r="AH44" t="inlineStr">
        <is>
          <t/>
        </is>
      </c>
      <c r="AI44" t="inlineStr">
        <is>
          <t/>
        </is>
      </c>
      <c r="AJ44" t="inlineStr">
        <is>
          <t/>
        </is>
      </c>
      <c r="AK44" t="inlineStr">
        <is>
          <t/>
        </is>
      </c>
      <c r="AL44" t="inlineStr">
        <is>
          <t/>
        </is>
      </c>
      <c r="AM44" t="inlineStr">
        <is>
          <t/>
        </is>
      </c>
      <c r="AN44">
        <f>ROUND(D44*INDEX($N$19:$N$54,1),0)</f>
        <v>3285</v>
      </c>
      <c r="AO44">
        <f>ROUND(D44*INDEX($N$19:$N$54,2),0)</f>
        <v>821</v>
      </c>
      <c r="AP44">
        <f>ROUND(D44*INDEX($N$19:$N$54,3),0)</f>
        <v>394</v>
      </c>
      <c r="AQ44">
        <f>ROUND(D44*INDEX($N$19:$N$54,4),0)</f>
        <v>164</v>
      </c>
      <c r="AR44">
        <f>ROUND(D44*INDEX($N$19:$N$54,5),0)</f>
        <v>159</v>
      </c>
      <c r="AS44">
        <f>ROUND(D44*INDEX($N$19:$N$54,6),0)</f>
        <v>155</v>
      </c>
      <c r="AT44">
        <f>ROUND(D44*INDEX($N$19:$N$54,7),0)</f>
        <v>150</v>
      </c>
      <c r="AU44">
        <f>ROUND(D44*INDEX($N$19:$N$54,8),0)</f>
        <v>145</v>
      </c>
      <c r="AV44">
        <f>ROUND(D44*INDEX($N$19:$N$54,9),0)</f>
        <v>141</v>
      </c>
      <c r="AW44">
        <f>ROUND(D44*INDEX($N$19:$N$54,10),0)</f>
        <v>137</v>
      </c>
      <c r="AX44">
        <f>ROUND(D44*INDEX($N$19:$N$54,11),0)</f>
        <v>133</v>
      </c>
    </row>
    <row r="45">
      <c r="A45" t="inlineStr">
        <is>
          <t>2028-05-01</t>
        </is>
      </c>
      <c r="B45">
        <v>3</v>
      </c>
      <c r="C45" t="inlineStr">
        <is>
          <t>phase_3_projection</t>
        </is>
      </c>
      <c r="D45">
        <f>ROUND(MAX(100,I45*J45*K45),0)</f>
        <v>4025</v>
      </c>
      <c r="E45">
        <f>MAX(0,F45-D45)</f>
        <v>3330</v>
      </c>
      <c r="F45">
        <f>ROUND(SUM($AO$19:$AO$54),0)</f>
        <v>7355</v>
      </c>
      <c r="G45" t="inlineStr">
        <is>
          <t/>
        </is>
      </c>
      <c r="H45">
        <f>IF($B45=1,$B$6,IF($B45=2,$B$7,$B$8))</f>
        <v>0.03</v>
      </c>
      <c r="I45">
        <f>I44*(1+H45)</f>
        <v>3919.23</v>
      </c>
      <c r="J45">
        <v>1.01307</v>
      </c>
      <c r="K45">
        <f>MAX(0.85,1+_xlfn.NORM.INV(RAND(),0,$B$15*0.35))</f>
        <v>1.013624</v>
      </c>
      <c r="L45" t="inlineStr">
        <is>
          <t/>
        </is>
      </c>
      <c r="M45">
        <v>26</v>
      </c>
      <c r="N45">
        <f>IF($M45=0,1,IF($M45=1,$B$11,IF($M45=2,$B$12,IF($M45=3,$B$13,$B$13*POWER($B$14,$M45-3)))))</f>
        <v>0.0248153207170991</v>
      </c>
      <c r="O45" t="inlineStr">
        <is>
          <t/>
        </is>
      </c>
      <c r="P45" t="inlineStr">
        <is>
          <t/>
        </is>
      </c>
      <c r="Q45" t="inlineStr">
        <is>
          <t/>
        </is>
      </c>
      <c r="R45" t="inlineStr">
        <is>
          <t/>
        </is>
      </c>
      <c r="S45" t="inlineStr">
        <is>
          <t/>
        </is>
      </c>
      <c r="T45" t="inlineStr">
        <is>
          <t/>
        </is>
      </c>
      <c r="U45" t="inlineStr">
        <is>
          <t/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/>
        </is>
      </c>
      <c r="AF45" t="inlineStr">
        <is>
          <t/>
        </is>
      </c>
      <c r="AG45" t="inlineStr">
        <is>
          <t/>
        </is>
      </c>
      <c r="AH45" t="inlineStr">
        <is>
          <t/>
        </is>
      </c>
      <c r="AI45" t="inlineStr">
        <is>
          <t/>
        </is>
      </c>
      <c r="AJ45" t="inlineStr">
        <is>
          <t/>
        </is>
      </c>
      <c r="AK45" t="inlineStr">
        <is>
          <t/>
        </is>
      </c>
      <c r="AL45" t="inlineStr">
        <is>
          <t/>
        </is>
      </c>
      <c r="AM45" t="inlineStr">
        <is>
          <t/>
        </is>
      </c>
      <c r="AN45" t="inlineStr">
        <is>
          <t/>
        </is>
      </c>
      <c r="AO45">
        <f>ROUND(D45*INDEX($N$19:$N$54,1),0)</f>
        <v>4025</v>
      </c>
      <c r="AP45">
        <f>ROUND(D45*INDEX($N$19:$N$54,2),0)</f>
        <v>1006</v>
      </c>
      <c r="AQ45">
        <f>ROUND(D45*INDEX($N$19:$N$54,3),0)</f>
        <v>483</v>
      </c>
      <c r="AR45">
        <f>ROUND(D45*INDEX($N$19:$N$54,4),0)</f>
        <v>201</v>
      </c>
      <c r="AS45">
        <f>ROUND(D45*INDEX($N$19:$N$54,5),0)</f>
        <v>195</v>
      </c>
      <c r="AT45">
        <f>ROUND(D45*INDEX($N$19:$N$54,6),0)</f>
        <v>189</v>
      </c>
      <c r="AU45">
        <f>ROUND(D45*INDEX($N$19:$N$54,7),0)</f>
        <v>184</v>
      </c>
      <c r="AV45">
        <f>ROUND(D45*INDEX($N$19:$N$54,8),0)</f>
        <v>178</v>
      </c>
      <c r="AW45">
        <f>ROUND(D45*INDEX($N$19:$N$54,9),0)</f>
        <v>173</v>
      </c>
      <c r="AX45">
        <f>ROUND(D45*INDEX($N$19:$N$54,10),0)</f>
        <v>168</v>
      </c>
    </row>
    <row r="46">
      <c r="A46" t="inlineStr">
        <is>
          <t>2028-06-01</t>
        </is>
      </c>
      <c r="B46">
        <v>3</v>
      </c>
      <c r="C46" t="inlineStr">
        <is>
          <t>phase_3_projection</t>
        </is>
      </c>
      <c r="D46">
        <f>ROUND(MAX(100,I46*J46*K46),0)</f>
        <v>3588</v>
      </c>
      <c r="E46">
        <f>MAX(0,F46-D46)</f>
        <v>3623</v>
      </c>
      <c r="F46">
        <f>ROUND(SUM($AP$19:$AP$54),0)</f>
        <v>7211</v>
      </c>
      <c r="G46" t="inlineStr">
        <is>
          <t/>
        </is>
      </c>
      <c r="H46">
        <f>IF($B46=1,$B$6,IF($B46=2,$B$7,$B$8))</f>
        <v>0.03</v>
      </c>
      <c r="I46">
        <f>I45*(1+H46)</f>
        <v>4036.81</v>
      </c>
      <c r="J46">
        <v>0.906254</v>
      </c>
      <c r="K46">
        <f>MAX(0.85,1+_xlfn.NORM.INV(RAND(),0,$B$15*0.35))</f>
        <v>0.9807</v>
      </c>
      <c r="L46" t="inlineStr">
        <is>
          <t/>
        </is>
      </c>
      <c r="M46">
        <v>27</v>
      </c>
      <c r="N46">
        <f>IF($M46=0,1,IF($M46=1,$B$11,IF($M46=2,$B$12,IF($M46=3,$B$13,$B$13*POWER($B$14,$M46-3)))))</f>
        <v>0.0240708610955862</v>
      </c>
      <c r="O46" t="inlineStr">
        <is>
          <t/>
        </is>
      </c>
      <c r="P46" t="inlineStr">
        <is>
          <t/>
        </is>
      </c>
      <c r="Q46" t="inlineStr">
        <is>
          <t/>
        </is>
      </c>
      <c r="R46" t="inlineStr">
        <is>
          <t/>
        </is>
      </c>
      <c r="S46" t="inlineStr">
        <is>
          <t/>
        </is>
      </c>
      <c r="T46" t="inlineStr">
        <is>
          <t/>
        </is>
      </c>
      <c r="U46" t="inlineStr">
        <is>
          <t/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/>
        </is>
      </c>
      <c r="AF46" t="inlineStr">
        <is>
          <t/>
        </is>
      </c>
      <c r="AG46" t="inlineStr">
        <is>
          <t/>
        </is>
      </c>
      <c r="AH46" t="inlineStr">
        <is>
          <t/>
        </is>
      </c>
      <c r="AI46" t="inlineStr">
        <is>
          <t/>
        </is>
      </c>
      <c r="AJ46" t="inlineStr">
        <is>
          <t/>
        </is>
      </c>
      <c r="AK46" t="inlineStr">
        <is>
          <t/>
        </is>
      </c>
      <c r="AL46" t="inlineStr">
        <is>
          <t/>
        </is>
      </c>
      <c r="AM46" t="inlineStr">
        <is>
          <t/>
        </is>
      </c>
      <c r="AN46" t="inlineStr">
        <is>
          <t/>
        </is>
      </c>
      <c r="AO46" t="inlineStr">
        <is>
          <t/>
        </is>
      </c>
      <c r="AP46">
        <f>ROUND(D46*INDEX($N$19:$N$54,1),0)</f>
        <v>3588</v>
      </c>
      <c r="AQ46">
        <f>ROUND(D46*INDEX($N$19:$N$54,2),0)</f>
        <v>897</v>
      </c>
      <c r="AR46">
        <f>ROUND(D46*INDEX($N$19:$N$54,3),0)</f>
        <v>431</v>
      </c>
      <c r="AS46">
        <f>ROUND(D46*INDEX($N$19:$N$54,4),0)</f>
        <v>179</v>
      </c>
      <c r="AT46">
        <f>ROUND(D46*INDEX($N$19:$N$54,5),0)</f>
        <v>174</v>
      </c>
      <c r="AU46">
        <f>ROUND(D46*INDEX($N$19:$N$54,6),0)</f>
        <v>169</v>
      </c>
      <c r="AV46">
        <f>ROUND(D46*INDEX($N$19:$N$54,7),0)</f>
        <v>164</v>
      </c>
      <c r="AW46">
        <f>ROUND(D46*INDEX($N$19:$N$54,8),0)</f>
        <v>159</v>
      </c>
      <c r="AX46">
        <f>ROUND(D46*INDEX($N$19:$N$54,9),0)</f>
        <v>154</v>
      </c>
    </row>
    <row r="47">
      <c r="A47" t="inlineStr">
        <is>
          <t>2028-07-01</t>
        </is>
      </c>
      <c r="B47">
        <v>3</v>
      </c>
      <c r="C47" t="inlineStr">
        <is>
          <t>phase_3_projection</t>
        </is>
      </c>
      <c r="D47">
        <f>ROUND(MAX(100,I47*J47*K47),0)</f>
        <v>3723</v>
      </c>
      <c r="E47">
        <f>MAX(0,F47-D47)</f>
        <v>3699</v>
      </c>
      <c r="F47">
        <f>ROUND(SUM($AQ$19:$AQ$54),0)</f>
        <v>7422</v>
      </c>
      <c r="G47" t="inlineStr">
        <is>
          <t/>
        </is>
      </c>
      <c r="H47">
        <f>IF($B47=1,$B$6,IF($B47=2,$B$7,$B$8))</f>
        <v>0.03</v>
      </c>
      <c r="I47">
        <f>I46*(1+H47)</f>
        <v>4157.91</v>
      </c>
      <c r="J47">
        <v>0.891844</v>
      </c>
      <c r="K47">
        <f>MAX(0.85,1+_xlfn.NORM.INV(RAND(),0,$B$15*0.35))</f>
        <v>1.004065</v>
      </c>
      <c r="L47" t="inlineStr">
        <is>
          <t/>
        </is>
      </c>
      <c r="M47">
        <v>28</v>
      </c>
      <c r="N47">
        <f>IF($M47=0,1,IF($M47=1,$B$11,IF($M47=2,$B$12,IF($M47=3,$B$13,$B$13*POWER($B$14,$M47-3)))))</f>
        <v>0.0233487352627186</v>
      </c>
      <c r="O47" t="inlineStr">
        <is>
          <t/>
        </is>
      </c>
      <c r="P47" t="inlineStr">
        <is>
          <t/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/>
        </is>
      </c>
      <c r="AA47" t="inlineStr">
        <is>
          <t/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/>
        </is>
      </c>
      <c r="AF47" t="inlineStr">
        <is>
          <t/>
        </is>
      </c>
      <c r="AG47" t="inlineStr">
        <is>
          <t/>
        </is>
      </c>
      <c r="AH47" t="inlineStr">
        <is>
          <t/>
        </is>
      </c>
      <c r="AI47" t="inlineStr">
        <is>
          <t/>
        </is>
      </c>
      <c r="AJ47" t="inlineStr">
        <is>
          <t/>
        </is>
      </c>
      <c r="AK47" t="inlineStr">
        <is>
          <t/>
        </is>
      </c>
      <c r="AL47" t="inlineStr">
        <is>
          <t/>
        </is>
      </c>
      <c r="AM47" t="inlineStr">
        <is>
          <t/>
        </is>
      </c>
      <c r="AN47" t="inlineStr">
        <is>
          <t/>
        </is>
      </c>
      <c r="AO47" t="inlineStr">
        <is>
          <t/>
        </is>
      </c>
      <c r="AP47" t="inlineStr">
        <is>
          <t/>
        </is>
      </c>
      <c r="AQ47">
        <f>ROUND(D47*INDEX($N$19:$N$54,1),0)</f>
        <v>3723</v>
      </c>
      <c r="AR47">
        <f>ROUND(D47*INDEX($N$19:$N$54,2),0)</f>
        <v>931</v>
      </c>
      <c r="AS47">
        <f>ROUND(D47*INDEX($N$19:$N$54,3),0)</f>
        <v>447</v>
      </c>
      <c r="AT47">
        <f>ROUND(D47*INDEX($N$19:$N$54,4),0)</f>
        <v>186</v>
      </c>
      <c r="AU47">
        <f>ROUND(D47*INDEX($N$19:$N$54,5),0)</f>
        <v>181</v>
      </c>
      <c r="AV47">
        <f>ROUND(D47*INDEX($N$19:$N$54,6),0)</f>
        <v>175</v>
      </c>
      <c r="AW47">
        <f>ROUND(D47*INDEX($N$19:$N$54,7),0)</f>
        <v>170</v>
      </c>
      <c r="AX47">
        <f>ROUND(D47*INDEX($N$19:$N$54,8),0)</f>
        <v>165</v>
      </c>
    </row>
    <row r="48">
      <c r="A48" t="inlineStr">
        <is>
          <t>2028-08-01</t>
        </is>
      </c>
      <c r="B48">
        <v>3</v>
      </c>
      <c r="C48" t="inlineStr">
        <is>
          <t>phase_3_projection</t>
        </is>
      </c>
      <c r="D48">
        <f>ROUND(MAX(100,I48*J48*K48),0)</f>
        <v>3843</v>
      </c>
      <c r="E48">
        <f>MAX(0,F48-D48)</f>
        <v>3811</v>
      </c>
      <c r="F48">
        <f>ROUND(SUM($AR$19:$AR$54),0)</f>
        <v>7654</v>
      </c>
      <c r="G48" t="inlineStr">
        <is>
          <t/>
        </is>
      </c>
      <c r="H48">
        <f>IF($B48=1,$B$6,IF($B48=2,$B$7,$B$8))</f>
        <v>0.03</v>
      </c>
      <c r="I48">
        <f>I47*(1+H48)</f>
        <v>4282.65</v>
      </c>
      <c r="J48">
        <v>0.921643</v>
      </c>
      <c r="K48">
        <f>MAX(0.85,1+_xlfn.NORM.INV(RAND(),0,$B$15*0.35))</f>
        <v>0.973585</v>
      </c>
      <c r="L48" t="inlineStr">
        <is>
          <t/>
        </is>
      </c>
      <c r="M48">
        <v>29</v>
      </c>
      <c r="N48">
        <f>IF($M48=0,1,IF($M48=1,$B$11,IF($M48=2,$B$12,IF($M48=3,$B$13,$B$13*POWER($B$14,$M48-3)))))</f>
        <v>0.022648273204837</v>
      </c>
      <c r="O48" t="inlineStr">
        <is>
          <t/>
        </is>
      </c>
      <c r="P48" t="inlineStr">
        <is>
          <t/>
        </is>
      </c>
      <c r="Q48" t="inlineStr">
        <is>
          <t/>
        </is>
      </c>
      <c r="R48" t="inlineStr">
        <is>
          <t/>
        </is>
      </c>
      <c r="S48" t="inlineStr">
        <is>
          <t/>
        </is>
      </c>
      <c r="T48" t="inlineStr">
        <is>
          <t/>
        </is>
      </c>
      <c r="U48" t="inlineStr">
        <is>
          <t/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/>
        </is>
      </c>
      <c r="AA48" t="inlineStr">
        <is>
          <t/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/>
        </is>
      </c>
      <c r="AF48" t="inlineStr">
        <is>
          <t/>
        </is>
      </c>
      <c r="AG48" t="inlineStr">
        <is>
          <t/>
        </is>
      </c>
      <c r="AH48" t="inlineStr">
        <is>
          <t/>
        </is>
      </c>
      <c r="AI48" t="inlineStr">
        <is>
          <t/>
        </is>
      </c>
      <c r="AJ48" t="inlineStr">
        <is>
          <t/>
        </is>
      </c>
      <c r="AK48" t="inlineStr">
        <is>
          <t/>
        </is>
      </c>
      <c r="AL48" t="inlineStr">
        <is>
          <t/>
        </is>
      </c>
      <c r="AM48" t="inlineStr">
        <is>
          <t/>
        </is>
      </c>
      <c r="AN48" t="inlineStr">
        <is>
          <t/>
        </is>
      </c>
      <c r="AO48" t="inlineStr">
        <is>
          <t/>
        </is>
      </c>
      <c r="AP48" t="inlineStr">
        <is>
          <t/>
        </is>
      </c>
      <c r="AQ48" t="inlineStr">
        <is>
          <t/>
        </is>
      </c>
      <c r="AR48">
        <f>ROUND(D48*INDEX($N$19:$N$54,1),0)</f>
        <v>3843</v>
      </c>
      <c r="AS48">
        <f>ROUND(D48*INDEX($N$19:$N$54,2),0)</f>
        <v>961</v>
      </c>
      <c r="AT48">
        <f>ROUND(D48*INDEX($N$19:$N$54,3),0)</f>
        <v>461</v>
      </c>
      <c r="AU48">
        <f>ROUND(D48*INDEX($N$19:$N$54,4),0)</f>
        <v>192</v>
      </c>
      <c r="AV48">
        <f>ROUND(D48*INDEX($N$19:$N$54,5),0)</f>
        <v>186</v>
      </c>
      <c r="AW48">
        <f>ROUND(D48*INDEX($N$19:$N$54,6),0)</f>
        <v>181</v>
      </c>
      <c r="AX48">
        <f>ROUND(D48*INDEX($N$19:$N$54,7),0)</f>
        <v>175</v>
      </c>
    </row>
    <row r="49">
      <c r="A49" t="inlineStr">
        <is>
          <t>2028-09-01</t>
        </is>
      </c>
      <c r="B49">
        <v>3</v>
      </c>
      <c r="C49" t="inlineStr">
        <is>
          <t>phase_3_projection</t>
        </is>
      </c>
      <c r="D49">
        <f>ROUND(MAX(100,I49*J49*K49),0)</f>
        <v>3741</v>
      </c>
      <c r="E49">
        <f>MAX(0,F49-D49)</f>
        <v>3964</v>
      </c>
      <c r="F49">
        <f>ROUND(SUM($AS$19:$AS$54),0)</f>
        <v>7705</v>
      </c>
      <c r="G49" t="inlineStr">
        <is>
          <t/>
        </is>
      </c>
      <c r="H49">
        <f>IF($B49=1,$B$6,IF($B49=2,$B$7,$B$8))</f>
        <v>0.03</v>
      </c>
      <c r="I49">
        <f>I48*(1+H49)</f>
        <v>4411.13</v>
      </c>
      <c r="J49">
        <v>0.885988</v>
      </c>
      <c r="K49">
        <f>MAX(0.85,1+_xlfn.NORM.INV(RAND(),0,$B$15*0.35))</f>
        <v>0.957291</v>
      </c>
      <c r="L49" t="inlineStr">
        <is>
          <t/>
        </is>
      </c>
      <c r="M49">
        <v>30</v>
      </c>
      <c r="N49">
        <f>IF($M49=0,1,IF($M49=1,$B$11,IF($M49=2,$B$12,IF($M49=3,$B$13,$B$13*POWER($B$14,$M49-3)))))</f>
        <v>0.0219688250086919</v>
      </c>
      <c r="O49" t="inlineStr">
        <is>
          <t/>
        </is>
      </c>
      <c r="P49" t="inlineStr">
        <is>
          <t/>
        </is>
      </c>
      <c r="Q49" t="inlineStr">
        <is>
          <t/>
        </is>
      </c>
      <c r="R49" t="inlineStr">
        <is>
          <t/>
        </is>
      </c>
      <c r="S49" t="inlineStr">
        <is>
          <t/>
        </is>
      </c>
      <c r="T49" t="inlineStr">
        <is>
          <t/>
        </is>
      </c>
      <c r="U49" t="inlineStr">
        <is>
          <t/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/>
        </is>
      </c>
      <c r="AF49" t="inlineStr">
        <is>
          <t/>
        </is>
      </c>
      <c r="AG49" t="inlineStr">
        <is>
          <t/>
        </is>
      </c>
      <c r="AH49" t="inlineStr">
        <is>
          <t/>
        </is>
      </c>
      <c r="AI49" t="inlineStr">
        <is>
          <t/>
        </is>
      </c>
      <c r="AJ49" t="inlineStr">
        <is>
          <t/>
        </is>
      </c>
      <c r="AK49" t="inlineStr">
        <is>
          <t/>
        </is>
      </c>
      <c r="AL49" t="inlineStr">
        <is>
          <t/>
        </is>
      </c>
      <c r="AM49" t="inlineStr">
        <is>
          <t/>
        </is>
      </c>
      <c r="AN49" t="inlineStr">
        <is>
          <t/>
        </is>
      </c>
      <c r="AO49" t="inlineStr">
        <is>
          <t/>
        </is>
      </c>
      <c r="AP49" t="inlineStr">
        <is>
          <t/>
        </is>
      </c>
      <c r="AQ49" t="inlineStr">
        <is>
          <t/>
        </is>
      </c>
      <c r="AR49" t="inlineStr">
        <is>
          <t/>
        </is>
      </c>
      <c r="AS49">
        <f>ROUND(D49*INDEX($N$19:$N$54,1),0)</f>
        <v>3741</v>
      </c>
      <c r="AT49">
        <f>ROUND(D49*INDEX($N$19:$N$54,2),0)</f>
        <v>935</v>
      </c>
      <c r="AU49">
        <f>ROUND(D49*INDEX($N$19:$N$54,3),0)</f>
        <v>449</v>
      </c>
      <c r="AV49">
        <f>ROUND(D49*INDEX($N$19:$N$54,4),0)</f>
        <v>187</v>
      </c>
      <c r="AW49">
        <f>ROUND(D49*INDEX($N$19:$N$54,5),0)</f>
        <v>181</v>
      </c>
      <c r="AX49">
        <f>ROUND(D49*INDEX($N$19:$N$54,6),0)</f>
        <v>176</v>
      </c>
    </row>
    <row r="50">
      <c r="A50" t="inlineStr">
        <is>
          <t>2028-10-01</t>
        </is>
      </c>
      <c r="B50">
        <v>3</v>
      </c>
      <c r="C50" t="inlineStr">
        <is>
          <t>phase_3_projection</t>
        </is>
      </c>
      <c r="D50">
        <f>ROUND(MAX(100,I50*J50*K50),0)</f>
        <v>4128</v>
      </c>
      <c r="E50">
        <f>MAX(0,F50-D50)</f>
        <v>4062</v>
      </c>
      <c r="F50">
        <f>ROUND(SUM($AT$19:$AT$54),0)</f>
        <v>8190</v>
      </c>
      <c r="G50" t="inlineStr">
        <is>
          <t/>
        </is>
      </c>
      <c r="H50">
        <f>IF($B50=1,$B$6,IF($B50=2,$B$7,$B$8))</f>
        <v>0.03</v>
      </c>
      <c r="I50">
        <f>I49*(1+H50)</f>
        <v>4543.46</v>
      </c>
      <c r="J50">
        <v>0.911037</v>
      </c>
      <c r="K50">
        <f>MAX(0.85,1+_xlfn.NORM.INV(RAND(),0,$B$15*0.35))</f>
        <v>0.997166</v>
      </c>
      <c r="L50" t="inlineStr">
        <is>
          <t/>
        </is>
      </c>
      <c r="M50">
        <v>31</v>
      </c>
      <c r="N50">
        <f>IF($M50=0,1,IF($M50=1,$B$11,IF($M50=2,$B$12,IF($M50=3,$B$13,$B$13*POWER($B$14,$M50-3)))))</f>
        <v>0.0213097602584312</v>
      </c>
      <c r="O50" t="inlineStr">
        <is>
          <t/>
        </is>
      </c>
      <c r="P50" t="inlineStr">
        <is>
          <t/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/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/>
        </is>
      </c>
      <c r="AF50" t="inlineStr">
        <is>
          <t/>
        </is>
      </c>
      <c r="AG50" t="inlineStr">
        <is>
          <t/>
        </is>
      </c>
      <c r="AH50" t="inlineStr">
        <is>
          <t/>
        </is>
      </c>
      <c r="AI50" t="inlineStr">
        <is>
          <t/>
        </is>
      </c>
      <c r="AJ50" t="inlineStr">
        <is>
          <t/>
        </is>
      </c>
      <c r="AK50" t="inlineStr">
        <is>
          <t/>
        </is>
      </c>
      <c r="AL50" t="inlineStr">
        <is>
          <t/>
        </is>
      </c>
      <c r="AM50" t="inlineStr">
        <is>
          <t/>
        </is>
      </c>
      <c r="AN50" t="inlineStr">
        <is>
          <t/>
        </is>
      </c>
      <c r="AO50" t="inlineStr">
        <is>
          <t/>
        </is>
      </c>
      <c r="AP50" t="inlineStr">
        <is>
          <t/>
        </is>
      </c>
      <c r="AQ50" t="inlineStr">
        <is>
          <t/>
        </is>
      </c>
      <c r="AR50" t="inlineStr">
        <is>
          <t/>
        </is>
      </c>
      <c r="AS50" t="inlineStr">
        <is>
          <t/>
        </is>
      </c>
      <c r="AT50">
        <f>ROUND(D50*INDEX($N$19:$N$54,1),0)</f>
        <v>4128</v>
      </c>
      <c r="AU50">
        <f>ROUND(D50*INDEX($N$19:$N$54,2),0)</f>
        <v>1032</v>
      </c>
      <c r="AV50">
        <f>ROUND(D50*INDEX($N$19:$N$54,3),0)</f>
        <v>495</v>
      </c>
      <c r="AW50">
        <f>ROUND(D50*INDEX($N$19:$N$54,4),0)</f>
        <v>206</v>
      </c>
      <c r="AX50">
        <f>ROUND(D50*INDEX($N$19:$N$54,5),0)</f>
        <v>200</v>
      </c>
    </row>
    <row r="51">
      <c r="A51" t="inlineStr">
        <is>
          <t>2028-11-01</t>
        </is>
      </c>
      <c r="B51">
        <v>3</v>
      </c>
      <c r="C51" t="inlineStr">
        <is>
          <t>phase_3_projection</t>
        </is>
      </c>
      <c r="D51">
        <f>ROUND(MAX(100,I51*J51*K51),0)</f>
        <v>6314</v>
      </c>
      <c r="E51">
        <f>MAX(0,F51-D51)</f>
        <v>4261</v>
      </c>
      <c r="F51">
        <f>ROUND(SUM($AU$19:$AU$54),0)</f>
        <v>10575</v>
      </c>
      <c r="G51" t="inlineStr">
        <is>
          <t/>
        </is>
      </c>
      <c r="H51">
        <f>IF($B51=1,$B$6,IF($B51=2,$B$7,$B$8))</f>
        <v>0.03</v>
      </c>
      <c r="I51">
        <f>I50*(1+H51)</f>
        <v>4679.77</v>
      </c>
      <c r="J51">
        <v>1.344002</v>
      </c>
      <c r="K51">
        <f>MAX(0.85,1+_xlfn.NORM.INV(RAND(),0,$B$15*0.35))</f>
        <v>1.003822</v>
      </c>
      <c r="L51" t="inlineStr">
        <is>
          <t/>
        </is>
      </c>
      <c r="M51">
        <v>32</v>
      </c>
      <c r="N51">
        <f>IF($M51=0,1,IF($M51=1,$B$11,IF($M51=2,$B$12,IF($M51=3,$B$13,$B$13*POWER($B$14,$M51-3)))))</f>
        <v>0.0206704674506782</v>
      </c>
      <c r="O51" t="inlineStr">
        <is>
          <t/>
        </is>
      </c>
      <c r="P51" t="inlineStr">
        <is>
          <t/>
        </is>
      </c>
      <c r="Q51" t="inlineStr">
        <is>
          <t/>
        </is>
      </c>
      <c r="R51" t="inlineStr">
        <is>
          <t/>
        </is>
      </c>
      <c r="S51" t="inlineStr">
        <is>
          <t/>
        </is>
      </c>
      <c r="T51" t="inlineStr">
        <is>
          <t/>
        </is>
      </c>
      <c r="U51" t="inlineStr">
        <is>
          <t/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/>
        </is>
      </c>
      <c r="AA51" t="inlineStr">
        <is>
          <t/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/>
        </is>
      </c>
      <c r="AF51" t="inlineStr">
        <is>
          <t/>
        </is>
      </c>
      <c r="AG51" t="inlineStr">
        <is>
          <t/>
        </is>
      </c>
      <c r="AH51" t="inlineStr">
        <is>
          <t/>
        </is>
      </c>
      <c r="AI51" t="inlineStr">
        <is>
          <t/>
        </is>
      </c>
      <c r="AJ51" t="inlineStr">
        <is>
          <t/>
        </is>
      </c>
      <c r="AK51" t="inlineStr">
        <is>
          <t/>
        </is>
      </c>
      <c r="AL51" t="inlineStr">
        <is>
          <t/>
        </is>
      </c>
      <c r="AM51" t="inlineStr">
        <is>
          <t/>
        </is>
      </c>
      <c r="AN51" t="inlineStr">
        <is>
          <t/>
        </is>
      </c>
      <c r="AO51" t="inlineStr">
        <is>
          <t/>
        </is>
      </c>
      <c r="AP51" t="inlineStr">
        <is>
          <t/>
        </is>
      </c>
      <c r="AQ51" t="inlineStr">
        <is>
          <t/>
        </is>
      </c>
      <c r="AR51" t="inlineStr">
        <is>
          <t/>
        </is>
      </c>
      <c r="AS51" t="inlineStr">
        <is>
          <t/>
        </is>
      </c>
      <c r="AT51" t="inlineStr">
        <is>
          <t/>
        </is>
      </c>
      <c r="AU51">
        <f>ROUND(D51*INDEX($N$19:$N$54,1),0)</f>
        <v>6314</v>
      </c>
      <c r="AV51">
        <f>ROUND(D51*INDEX($N$19:$N$54,2),0)</f>
        <v>1578</v>
      </c>
      <c r="AW51">
        <f>ROUND(D51*INDEX($N$19:$N$54,3),0)</f>
        <v>758</v>
      </c>
      <c r="AX51">
        <f>ROUND(D51*INDEX($N$19:$N$54,4),0)</f>
        <v>316</v>
      </c>
    </row>
    <row r="52">
      <c r="A52" t="inlineStr">
        <is>
          <t>2028-12-01</t>
        </is>
      </c>
      <c r="B52">
        <v>3</v>
      </c>
      <c r="C52" t="inlineStr">
        <is>
          <t>phase_3_projection</t>
        </is>
      </c>
      <c r="D52">
        <f>ROUND(MAX(100,I52*J52*K52),0)</f>
        <v>11880</v>
      </c>
      <c r="E52">
        <f>MAX(0,F52-D52)</f>
        <v>4955</v>
      </c>
      <c r="F52">
        <f>ROUND(SUM($AV$19:$AV$54),0)</f>
        <v>16835</v>
      </c>
      <c r="G52" t="inlineStr">
        <is>
          <t/>
        </is>
      </c>
      <c r="H52">
        <f>IF($B52=1,$B$6,IF($B52=2,$B$7,$B$8))</f>
        <v>0.03</v>
      </c>
      <c r="I52">
        <f>I51*(1+H52)</f>
        <v>4820.16</v>
      </c>
      <c r="J52">
        <v>2.521434</v>
      </c>
      <c r="K52">
        <f>MAX(0.85,1+_xlfn.NORM.INV(RAND(),0,$B$15*0.35))</f>
        <v>0.977494</v>
      </c>
      <c r="L52" t="inlineStr">
        <is>
          <t/>
        </is>
      </c>
      <c r="M52">
        <v>33</v>
      </c>
      <c r="N52">
        <f>IF($M52=0,1,IF($M52=1,$B$11,IF($M52=2,$B$12,IF($M52=3,$B$13,$B$13*POWER($B$14,$M52-3)))))</f>
        <v>0.0200503534271579</v>
      </c>
      <c r="O52" t="inlineStr">
        <is>
          <t/>
        </is>
      </c>
      <c r="P52" t="inlineStr">
        <is>
          <t/>
        </is>
      </c>
      <c r="Q52" t="inlineStr">
        <is>
          <t/>
        </is>
      </c>
      <c r="R52" t="inlineStr">
        <is>
          <t/>
        </is>
      </c>
      <c r="S52" t="inlineStr">
        <is>
          <t/>
        </is>
      </c>
      <c r="T52" t="inlineStr">
        <is>
          <t/>
        </is>
      </c>
      <c r="U52" t="inlineStr">
        <is>
          <t/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/>
        </is>
      </c>
      <c r="AF52" t="inlineStr">
        <is>
          <t/>
        </is>
      </c>
      <c r="AG52" t="inlineStr">
        <is>
          <t/>
        </is>
      </c>
      <c r="AH52" t="inlineStr">
        <is>
          <t/>
        </is>
      </c>
      <c r="AI52" t="inlineStr">
        <is>
          <t/>
        </is>
      </c>
      <c r="AJ52" t="inlineStr">
        <is>
          <t/>
        </is>
      </c>
      <c r="AK52" t="inlineStr">
        <is>
          <t/>
        </is>
      </c>
      <c r="AL52" t="inlineStr">
        <is>
          <t/>
        </is>
      </c>
      <c r="AM52" t="inlineStr">
        <is>
          <t/>
        </is>
      </c>
      <c r="AN52" t="inlineStr">
        <is>
          <t/>
        </is>
      </c>
      <c r="AO52" t="inlineStr">
        <is>
          <t/>
        </is>
      </c>
      <c r="AP52" t="inlineStr">
        <is>
          <t/>
        </is>
      </c>
      <c r="AQ52" t="inlineStr">
        <is>
          <t/>
        </is>
      </c>
      <c r="AR52" t="inlineStr">
        <is>
          <t/>
        </is>
      </c>
      <c r="AS52" t="inlineStr">
        <is>
          <t/>
        </is>
      </c>
      <c r="AT52" t="inlineStr">
        <is>
          <t/>
        </is>
      </c>
      <c r="AU52" t="inlineStr">
        <is>
          <t/>
        </is>
      </c>
      <c r="AV52">
        <f>ROUND(D52*INDEX($N$19:$N$54,1),0)</f>
        <v>11880</v>
      </c>
      <c r="AW52">
        <f>ROUND(D52*INDEX($N$19:$N$54,2),0)</f>
        <v>2970</v>
      </c>
      <c r="AX52">
        <f>ROUND(D52*INDEX($N$19:$N$54,3),0)</f>
        <v>1426</v>
      </c>
    </row>
    <row r="53">
      <c r="A53" t="inlineStr">
        <is>
          <t>2029-01-01</t>
        </is>
      </c>
      <c r="B53">
        <v>3</v>
      </c>
      <c r="C53" t="inlineStr">
        <is>
          <t>phase_3_projection</t>
        </is>
      </c>
      <c r="D53">
        <f>ROUND(MAX(100,I53*J53*K53),0)</f>
        <v>3968</v>
      </c>
      <c r="E53">
        <f>MAX(0,F53-D53)</f>
        <v>6729</v>
      </c>
      <c r="F53">
        <f>ROUND(SUM($AW$19:$AW$54),0)</f>
        <v>10697</v>
      </c>
      <c r="G53" t="inlineStr">
        <is>
          <t/>
        </is>
      </c>
      <c r="H53">
        <f>IF($B53=1,$B$6,IF($B53=2,$B$7,$B$8))</f>
        <v>0.03</v>
      </c>
      <c r="I53">
        <f>I52*(1+H53)</f>
        <v>4964.76</v>
      </c>
      <c r="J53">
        <v>0.805962</v>
      </c>
      <c r="K53">
        <f>MAX(0.85,1+_xlfn.NORM.INV(RAND(),0,$B$15*0.35))</f>
        <v>0.991632</v>
      </c>
      <c r="L53" t="inlineStr">
        <is>
          <t/>
        </is>
      </c>
      <c r="M53">
        <v>34</v>
      </c>
      <c r="N53">
        <f>IF($M53=0,1,IF($M53=1,$B$11,IF($M53=2,$B$12,IF($M53=3,$B$13,$B$13*POWER($B$14,$M53-3)))))</f>
        <v>0.0194488428243431</v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/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/>
        </is>
      </c>
      <c r="AF53" t="inlineStr">
        <is>
          <t/>
        </is>
      </c>
      <c r="AG53" t="inlineStr">
        <is>
          <t/>
        </is>
      </c>
      <c r="AH53" t="inlineStr">
        <is>
          <t/>
        </is>
      </c>
      <c r="AI53" t="inlineStr">
        <is>
          <t/>
        </is>
      </c>
      <c r="AJ53" t="inlineStr">
        <is>
          <t/>
        </is>
      </c>
      <c r="AK53" t="inlineStr">
        <is>
          <t/>
        </is>
      </c>
      <c r="AL53" t="inlineStr">
        <is>
          <t/>
        </is>
      </c>
      <c r="AM53" t="inlineStr">
        <is>
          <t/>
        </is>
      </c>
      <c r="AN53" t="inlineStr">
        <is>
          <t/>
        </is>
      </c>
      <c r="AO53" t="inlineStr">
        <is>
          <t/>
        </is>
      </c>
      <c r="AP53" t="inlineStr">
        <is>
          <t/>
        </is>
      </c>
      <c r="AQ53" t="inlineStr">
        <is>
          <t/>
        </is>
      </c>
      <c r="AR53" t="inlineStr">
        <is>
          <t/>
        </is>
      </c>
      <c r="AS53" t="inlineStr">
        <is>
          <t/>
        </is>
      </c>
      <c r="AT53" t="inlineStr">
        <is>
          <t/>
        </is>
      </c>
      <c r="AU53" t="inlineStr">
        <is>
          <t/>
        </is>
      </c>
      <c r="AV53" t="inlineStr">
        <is>
          <t/>
        </is>
      </c>
      <c r="AW53">
        <f>ROUND(D53*INDEX($N$19:$N$54,1),0)</f>
        <v>3968</v>
      </c>
      <c r="AX53">
        <f>ROUND(D53*INDEX($N$19:$N$54,2),0)</f>
        <v>992</v>
      </c>
    </row>
    <row r="54">
      <c r="A54" t="inlineStr">
        <is>
          <t>2029-02-01</t>
        </is>
      </c>
      <c r="B54">
        <v>3</v>
      </c>
      <c r="C54" t="inlineStr">
        <is>
          <t>phase_3_projection</t>
        </is>
      </c>
      <c r="D54">
        <f>ROUND(MAX(100,I54*J54*K54),0)</f>
        <v>5144</v>
      </c>
      <c r="E54">
        <f>MAX(0,F54-D54)</f>
        <v>5644</v>
      </c>
      <c r="F54">
        <f>ROUND(SUM($AX$19:$AX$54),0)</f>
        <v>10788</v>
      </c>
      <c r="G54" t="inlineStr">
        <is>
          <t/>
        </is>
      </c>
      <c r="H54">
        <f>IF($B54=1,$B$6,IF($B54=2,$B$7,$B$8))</f>
        <v>0.03</v>
      </c>
      <c r="I54">
        <f>I53*(1+H54)</f>
        <v>5113.71</v>
      </c>
      <c r="J54">
        <v>0.9952</v>
      </c>
      <c r="K54">
        <f>MAX(0.85,1+_xlfn.NORM.INV(RAND(),0,$B$15*0.35))</f>
        <v>1.010854</v>
      </c>
      <c r="L54" t="inlineStr">
        <is>
          <t/>
        </is>
      </c>
      <c r="M54">
        <v>35</v>
      </c>
      <c r="N54">
        <f>IF($M54=0,1,IF($M54=1,$B$11,IF($M54=2,$B$12,IF($M54=3,$B$13,$B$13*POWER($B$14,$M54-3)))))</f>
        <v>0.0188653775396128</v>
      </c>
      <c r="O54" t="inlineStr">
        <is>
          <t/>
        </is>
      </c>
      <c r="P54" t="inlineStr">
        <is>
          <t/>
        </is>
      </c>
      <c r="Q54" t="inlineStr">
        <is>
          <t/>
        </is>
      </c>
      <c r="R54" t="inlineStr">
        <is>
          <t/>
        </is>
      </c>
      <c r="S54" t="inlineStr">
        <is>
          <t/>
        </is>
      </c>
      <c r="T54" t="inlineStr">
        <is>
          <t/>
        </is>
      </c>
      <c r="U54" t="inlineStr">
        <is>
          <t/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/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/>
        </is>
      </c>
      <c r="AF54" t="inlineStr">
        <is>
          <t/>
        </is>
      </c>
      <c r="AG54" t="inlineStr">
        <is>
          <t/>
        </is>
      </c>
      <c r="AH54" t="inlineStr">
        <is>
          <t/>
        </is>
      </c>
      <c r="AI54" t="inlineStr">
        <is>
          <t/>
        </is>
      </c>
      <c r="AJ54" t="inlineStr">
        <is>
          <t/>
        </is>
      </c>
      <c r="AK54" t="inlineStr">
        <is>
          <t/>
        </is>
      </c>
      <c r="AL54" t="inlineStr">
        <is>
          <t/>
        </is>
      </c>
      <c r="AM54" t="inlineStr">
        <is>
          <t/>
        </is>
      </c>
      <c r="AN54" t="inlineStr">
        <is>
          <t/>
        </is>
      </c>
      <c r="AO54" t="inlineStr">
        <is>
          <t/>
        </is>
      </c>
      <c r="AP54" t="inlineStr">
        <is>
          <t/>
        </is>
      </c>
      <c r="AQ54" t="inlineStr">
        <is>
          <t/>
        </is>
      </c>
      <c r="AR54" t="inlineStr">
        <is>
          <t/>
        </is>
      </c>
      <c r="AS54" t="inlineStr">
        <is>
          <t/>
        </is>
      </c>
      <c r="AT54" t="inlineStr">
        <is>
          <t/>
        </is>
      </c>
      <c r="AU54" t="inlineStr">
        <is>
          <t/>
        </is>
      </c>
      <c r="AV54" t="inlineStr">
        <is>
          <t/>
        </is>
      </c>
      <c r="AW54" t="inlineStr">
        <is>
          <t/>
        </is>
      </c>
      <c r="AX54">
        <f>ROUND(D54*INDEX($N$19:$N$54,1),0)</f>
        <v>5144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50"/>
  <sheetViews>
    <sheetView workbookViewId="0"/>
  </sheetViews>
  <sheetFormatPr defaultRowHeight="15"/>
  <sheetData>
    <row r="1">
      <c r="A1" t="inlineStr">
        <is>
          <t>[Subscriptions Assumptions]</t>
        </is>
      </c>
      <c r="B1" t="inlineStr">
        <is>
          <t/>
        </is>
      </c>
      <c r="C1" t="inlineStr">
        <is>
          <t>Inputs used by the subscription revenue projection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projection_months</t>
        </is>
      </c>
      <c r="B3">
        <v>36</v>
      </c>
      <c r="C3" t="inlineStr">
        <is>
          <t>Number of projected monthly rows in the workbook model.</t>
        </is>
      </c>
    </row>
    <row r="4">
      <c r="A4" t="inlineStr">
        <is>
          <t>projection_start_month</t>
        </is>
      </c>
      <c r="B4" t="inlineStr">
        <is>
          <t>2026-03</t>
        </is>
      </c>
      <c r="C4" t="inlineStr">
        <is>
          <t>First month of the synthetic projection in YYYY-MM format.</t>
        </is>
      </c>
    </row>
    <row r="5">
      <c r="A5" t="inlineStr">
        <is>
          <t>subscription_conversion_start</t>
        </is>
      </c>
      <c r="B5">
        <v>0.008</v>
      </c>
      <c r="C5" t="inlineStr">
        <is>
          <t>Initial MAU-to-paid conversion rate.</t>
        </is>
      </c>
    </row>
    <row r="6">
      <c r="A6" t="inlineStr">
        <is>
          <t>subscription_conversion_end</t>
        </is>
      </c>
      <c r="B6">
        <v>0.025</v>
      </c>
      <c r="C6" t="inlineStr">
        <is>
          <t>Target MAU-to-paid conversion rate approached over time.</t>
        </is>
      </c>
    </row>
    <row r="7">
      <c r="A7" t="inlineStr">
        <is>
          <t>subscription_conversion_monthly_improvement_rate</t>
        </is>
      </c>
      <c r="B7">
        <v>0.08</v>
      </c>
      <c r="C7" t="inlineStr">
        <is>
          <t>Share of the remaining conversion-rate gap closed each month.</t>
        </is>
      </c>
    </row>
    <row r="8">
      <c r="A8" t="inlineStr">
        <is>
          <t>subscription_retention_start</t>
        </is>
      </c>
      <c r="B8">
        <v>0.3</v>
      </c>
      <c r="C8" t="inlineStr">
        <is>
          <t>Initial monthly subscriber retention rate.</t>
        </is>
      </c>
    </row>
    <row r="9">
      <c r="A9" t="inlineStr">
        <is>
          <t>subscription_retention_end</t>
        </is>
      </c>
      <c r="B9">
        <v>0.6</v>
      </c>
      <c r="C9" t="inlineStr">
        <is>
          <t>Target monthly subscriber retention rate approached over time.</t>
        </is>
      </c>
    </row>
    <row r="10">
      <c r="A10" t="inlineStr">
        <is>
          <t>subscription_retention_monthly_improvement_rate</t>
        </is>
      </c>
      <c r="B10">
        <v>0.06</v>
      </c>
      <c r="C10" t="inlineStr">
        <is>
          <t>Share of the remaining retention-rate gap closed each month.</t>
        </is>
      </c>
    </row>
    <row r="11">
      <c r="A11" t="inlineStr">
        <is>
          <t>subscription_price_usd</t>
        </is>
      </c>
      <c r="B11">
        <v>20</v>
      </c>
      <c r="C11" t="inlineStr">
        <is>
          <t>Monthly subscription price used by the Subscriptions sheet.</t>
        </is>
      </c>
    </row>
    <row r="12">
      <c r="A12" t="inlineStr">
        <is>
          <t>dependency</t>
        </is>
      </c>
      <c r="B12" t="inlineStr">
        <is>
          <t>MAU &amp; Operating Metrics.mau</t>
        </is>
      </c>
      <c r="C12" t="inlineStr">
        <is>
          <t>Subscriber-state and subscription revenue are derived from the MAU &amp; Operating Metrics sheet's audience base.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/>
        </is>
      </c>
    </row>
    <row r="14">
      <c r="A14" t="inlineStr">
        <is>
          <t>month</t>
        </is>
      </c>
      <c r="B14" t="inlineStr">
        <is>
          <t>year_index</t>
        </is>
      </c>
      <c r="C14" t="inlineStr">
        <is>
          <t>phase</t>
        </is>
      </c>
      <c r="D14" t="inlineStr">
        <is>
          <t>mau</t>
        </is>
      </c>
      <c r="E14" t="inlineStr">
        <is>
          <t>subscription_conversion_rate</t>
        </is>
      </c>
      <c r="F14" t="inlineStr">
        <is>
          <t>subscription_retention_rate</t>
        </is>
      </c>
      <c r="G14" t="inlineStr">
        <is>
          <t>retained_subscribers</t>
        </is>
      </c>
      <c r="H14" t="inlineStr">
        <is>
          <t>new_subscribers</t>
        </is>
      </c>
      <c r="I14" t="inlineStr">
        <is>
          <t>churned_subscribers</t>
        </is>
      </c>
      <c r="J14" t="inlineStr">
        <is>
          <t>active_subscribers</t>
        </is>
      </c>
      <c r="K14" t="inlineStr">
        <is>
          <t>subscription_price_usd</t>
        </is>
      </c>
      <c r="L14" t="inlineStr">
        <is>
          <t>subscription_revenue_usd</t>
        </is>
      </c>
    </row>
    <row r="15">
      <c r="A15" t="inlineStr">
        <is>
          <t>2026-03-01</t>
        </is>
      </c>
      <c r="B15">
        <v>1</v>
      </c>
      <c r="C15" t="inlineStr">
        <is>
          <t>phase_1_user_growth</t>
        </is>
      </c>
      <c r="D15">
        <f>'MAU &amp; Operating Metrics'!$F19</f>
        <v>613</v>
      </c>
      <c r="E15">
        <f>$B$5</f>
        <v>0.008</v>
      </c>
      <c r="F15">
        <f>$B$8</f>
        <v>0.3</v>
      </c>
      <c r="G15">
        <f>ROUND(IF(ROW()=15,0,J14)*F15,0)</f>
        <v>0</v>
      </c>
      <c r="H15">
        <f>ROUND(MAX(0,J15-G15),0)</f>
        <v>5</v>
      </c>
      <c r="I15">
        <f>ROUND(MAX(0,IF(ROW()=15,0,J14)-G15),0)</f>
        <v>0</v>
      </c>
      <c r="J15">
        <f>ROUND(MAX(G15,D15*E15),0)</f>
        <v>5</v>
      </c>
      <c r="K15">
        <f>$B$11</f>
        <v>20</v>
      </c>
      <c r="L15">
        <f>ROUND(J15*K15,2)</f>
        <v>100</v>
      </c>
    </row>
    <row r="16">
      <c r="A16" t="inlineStr">
        <is>
          <t>2026-04-01</t>
        </is>
      </c>
      <c r="B16">
        <v>1</v>
      </c>
      <c r="C16" t="inlineStr">
        <is>
          <t>phase_1_user_growth</t>
        </is>
      </c>
      <c r="D16">
        <f>'MAU &amp; Operating Metrics'!$F20</f>
        <v>790</v>
      </c>
      <c r="E16">
        <f>E15+($B$6-E15)*$B$7</f>
        <v>0.0094</v>
      </c>
      <c r="F16">
        <f>F15+($B$9-F15)*$B$10</f>
        <v>0.318</v>
      </c>
      <c r="G16">
        <f>ROUND(IF(ROW()=15,0,J15)*F16,0)</f>
        <v>2</v>
      </c>
      <c r="H16">
        <f>ROUND(MAX(0,J16-G16),0)</f>
        <v>6</v>
      </c>
      <c r="I16">
        <f>ROUND(MAX(0,IF(ROW()=15,0,J15)-G16),0)</f>
        <v>3</v>
      </c>
      <c r="J16">
        <f>ROUND(MAX(G16,D16*E16),0)</f>
        <v>7</v>
      </c>
      <c r="K16">
        <f>$B$11</f>
        <v>20</v>
      </c>
      <c r="L16">
        <f>ROUND(J16*K16,2)</f>
        <v>140</v>
      </c>
    </row>
    <row r="17">
      <c r="A17" t="inlineStr">
        <is>
          <t>2026-05-01</t>
        </is>
      </c>
      <c r="B17">
        <v>1</v>
      </c>
      <c r="C17" t="inlineStr">
        <is>
          <t>phase_1_user_growth</t>
        </is>
      </c>
      <c r="D17">
        <f>'MAU &amp; Operating Metrics'!$F21</f>
        <v>1101</v>
      </c>
      <c r="E17">
        <f>E16+($B$6-E16)*$B$7</f>
        <v>0.0106</v>
      </c>
      <c r="F17">
        <f>F16+($B$9-F16)*$B$10</f>
        <v>0.3349</v>
      </c>
      <c r="G17">
        <f>ROUND(IF(ROW()=15,0,J16)*F17,0)</f>
        <v>2</v>
      </c>
      <c r="H17">
        <f>ROUND(MAX(0,J17-G17),0)</f>
        <v>9</v>
      </c>
      <c r="I17">
        <f>ROUND(MAX(0,IF(ROW()=15,0,J16)-G17),0)</f>
        <v>5</v>
      </c>
      <c r="J17">
        <f>ROUND(MAX(G17,D17*E17),0)</f>
        <v>12</v>
      </c>
      <c r="K17">
        <f>$B$11</f>
        <v>20</v>
      </c>
      <c r="L17">
        <f>ROUND(J17*K17,2)</f>
        <v>240</v>
      </c>
    </row>
    <row r="18">
      <c r="A18" t="inlineStr">
        <is>
          <t>2026-06-01</t>
        </is>
      </c>
      <c r="B18">
        <v>1</v>
      </c>
      <c r="C18" t="inlineStr">
        <is>
          <t>phase_1_user_growth</t>
        </is>
      </c>
      <c r="D18">
        <f>'MAU &amp; Operating Metrics'!$F22</f>
        <v>1171</v>
      </c>
      <c r="E18">
        <f>E17+($B$6-E17)*$B$7</f>
        <v>0.0118</v>
      </c>
      <c r="F18">
        <f>F17+($B$9-F17)*$B$10</f>
        <v>0.3508</v>
      </c>
      <c r="G18">
        <f>ROUND(IF(ROW()=15,0,J17)*F18,0)</f>
        <v>4</v>
      </c>
      <c r="H18">
        <f>ROUND(MAX(0,J18-G18),0)</f>
        <v>10</v>
      </c>
      <c r="I18">
        <f>ROUND(MAX(0,IF(ROW()=15,0,J17)-G18),0)</f>
        <v>8</v>
      </c>
      <c r="J18">
        <f>ROUND(MAX(G18,D18*E18),0)</f>
        <v>14</v>
      </c>
      <c r="K18">
        <f>$B$11</f>
        <v>20</v>
      </c>
      <c r="L18">
        <f>ROUND(J18*K18,2)</f>
        <v>280</v>
      </c>
    </row>
    <row r="19">
      <c r="A19" t="inlineStr">
        <is>
          <t>2026-07-01</t>
        </is>
      </c>
      <c r="B19">
        <v>1</v>
      </c>
      <c r="C19" t="inlineStr">
        <is>
          <t>phase_1_user_growth</t>
        </is>
      </c>
      <c r="D19">
        <f>'MAU &amp; Operating Metrics'!$F23</f>
        <v>1293</v>
      </c>
      <c r="E19">
        <f>E18+($B$6-E18)*$B$7</f>
        <v>0.0128</v>
      </c>
      <c r="F19">
        <f>F18+($B$9-F18)*$B$10</f>
        <v>0.3658</v>
      </c>
      <c r="G19">
        <f>ROUND(IF(ROW()=15,0,J18)*F19,0)</f>
        <v>5</v>
      </c>
      <c r="H19">
        <f>ROUND(MAX(0,J19-G19),0)</f>
        <v>12</v>
      </c>
      <c r="I19">
        <f>ROUND(MAX(0,IF(ROW()=15,0,J18)-G19),0)</f>
        <v>9</v>
      </c>
      <c r="J19">
        <f>ROUND(MAX(G19,D19*E19),0)</f>
        <v>17</v>
      </c>
      <c r="K19">
        <f>$B$11</f>
        <v>20</v>
      </c>
      <c r="L19">
        <f>ROUND(J19*K19,2)</f>
        <v>340</v>
      </c>
    </row>
    <row r="20">
      <c r="A20" t="inlineStr">
        <is>
          <t>2026-08-01</t>
        </is>
      </c>
      <c r="B20">
        <v>1</v>
      </c>
      <c r="C20" t="inlineStr">
        <is>
          <t>phase_1_user_growth</t>
        </is>
      </c>
      <c r="D20">
        <f>'MAU &amp; Operating Metrics'!$F24</f>
        <v>1503</v>
      </c>
      <c r="E20">
        <f>E19+($B$6-E19)*$B$7</f>
        <v>0.0138</v>
      </c>
      <c r="F20">
        <f>F19+($B$9-F19)*$B$10</f>
        <v>0.3798</v>
      </c>
      <c r="G20">
        <f>ROUND(IF(ROW()=15,0,J19)*F20,0)</f>
        <v>6</v>
      </c>
      <c r="H20">
        <f>ROUND(MAX(0,J20-G20),0)</f>
        <v>14</v>
      </c>
      <c r="I20">
        <f>ROUND(MAX(0,IF(ROW()=15,0,J19)-G20),0)</f>
        <v>10</v>
      </c>
      <c r="J20">
        <f>ROUND(MAX(G20,D20*E20),0)</f>
        <v>21</v>
      </c>
      <c r="K20">
        <f>$B$11</f>
        <v>20</v>
      </c>
      <c r="L20">
        <f>ROUND(J20*K20,2)</f>
        <v>420</v>
      </c>
    </row>
    <row r="21">
      <c r="A21" t="inlineStr">
        <is>
          <t>2026-09-01</t>
        </is>
      </c>
      <c r="B21">
        <v>1</v>
      </c>
      <c r="C21" t="inlineStr">
        <is>
          <t>phase_1_user_growth</t>
        </is>
      </c>
      <c r="D21">
        <f>'MAU &amp; Operating Metrics'!$F25</f>
        <v>1593</v>
      </c>
      <c r="E21">
        <f>E20+($B$6-E20)*$B$7</f>
        <v>0.0147</v>
      </c>
      <c r="F21">
        <f>F20+($B$9-F20)*$B$10</f>
        <v>0.393</v>
      </c>
      <c r="G21">
        <f>ROUND(IF(ROW()=15,0,J20)*F21,0)</f>
        <v>8</v>
      </c>
      <c r="H21">
        <f>ROUND(MAX(0,J21-G21),0)</f>
        <v>15</v>
      </c>
      <c r="I21">
        <f>ROUND(MAX(0,IF(ROW()=15,0,J20)-G21),0)</f>
        <v>13</v>
      </c>
      <c r="J21">
        <f>ROUND(MAX(G21,D21*E21),0)</f>
        <v>23</v>
      </c>
      <c r="K21">
        <f>$B$11</f>
        <v>20</v>
      </c>
      <c r="L21">
        <f>ROUND(J21*K21,2)</f>
        <v>460</v>
      </c>
    </row>
    <row r="22">
      <c r="A22" t="inlineStr">
        <is>
          <t>2026-10-01</t>
        </is>
      </c>
      <c r="B22">
        <v>1</v>
      </c>
      <c r="C22" t="inlineStr">
        <is>
          <t>phase_1_user_growth</t>
        </is>
      </c>
      <c r="D22">
        <f>'MAU &amp; Operating Metrics'!$F26</f>
        <v>1824</v>
      </c>
      <c r="E22">
        <f>E21+($B$6-E21)*$B$7</f>
        <v>0.0155</v>
      </c>
      <c r="F22">
        <f>F21+($B$9-F21)*$B$10</f>
        <v>0.4055</v>
      </c>
      <c r="G22">
        <f>ROUND(IF(ROW()=15,0,J21)*F22,0)</f>
        <v>9</v>
      </c>
      <c r="H22">
        <f>ROUND(MAX(0,J22-G22),0)</f>
        <v>19</v>
      </c>
      <c r="I22">
        <f>ROUND(MAX(0,IF(ROW()=15,0,J21)-G22),0)</f>
        <v>14</v>
      </c>
      <c r="J22">
        <f>ROUND(MAX(G22,D22*E22),0)</f>
        <v>28</v>
      </c>
      <c r="K22">
        <f>$B$11</f>
        <v>20</v>
      </c>
      <c r="L22">
        <f>ROUND(J22*K22,2)</f>
        <v>560</v>
      </c>
    </row>
    <row r="23">
      <c r="A23" t="inlineStr">
        <is>
          <t>2026-11-01</t>
        </is>
      </c>
      <c r="B23">
        <v>1</v>
      </c>
      <c r="C23" t="inlineStr">
        <is>
          <t>phase_1_user_growth</t>
        </is>
      </c>
      <c r="D23">
        <f>'MAU &amp; Operating Metrics'!$F27</f>
        <v>2691</v>
      </c>
      <c r="E23">
        <f>E22+($B$6-E22)*$B$7</f>
        <v>0.0163</v>
      </c>
      <c r="F23">
        <f>F22+($B$9-F22)*$B$10</f>
        <v>0.4171</v>
      </c>
      <c r="G23">
        <f>ROUND(IF(ROW()=15,0,J22)*F23,0)</f>
        <v>12</v>
      </c>
      <c r="H23">
        <f>ROUND(MAX(0,J23-G23),0)</f>
        <v>32</v>
      </c>
      <c r="I23">
        <f>ROUND(MAX(0,IF(ROW()=15,0,J22)-G23),0)</f>
        <v>16</v>
      </c>
      <c r="J23">
        <f>ROUND(MAX(G23,D23*E23),0)</f>
        <v>44</v>
      </c>
      <c r="K23">
        <f>$B$11</f>
        <v>20</v>
      </c>
      <c r="L23">
        <f>ROUND(J23*K23,2)</f>
        <v>880</v>
      </c>
    </row>
    <row r="24">
      <c r="A24" t="inlineStr">
        <is>
          <t>2026-12-01</t>
        </is>
      </c>
      <c r="B24">
        <v>1</v>
      </c>
      <c r="C24" t="inlineStr">
        <is>
          <t>phase_1_user_growth</t>
        </is>
      </c>
      <c r="D24">
        <f>'MAU &amp; Operating Metrics'!$F28</f>
        <v>4998</v>
      </c>
      <c r="E24">
        <f>E23+($B$6-E23)*$B$7</f>
        <v>0.017</v>
      </c>
      <c r="F24">
        <f>F23+($B$9-F23)*$B$10</f>
        <v>0.4281</v>
      </c>
      <c r="G24">
        <f>ROUND(IF(ROW()=15,0,J23)*F24,0)</f>
        <v>19</v>
      </c>
      <c r="H24">
        <f>ROUND(MAX(0,J24-G24),0)</f>
        <v>66</v>
      </c>
      <c r="I24">
        <f>ROUND(MAX(0,IF(ROW()=15,0,J23)-G24),0)</f>
        <v>25</v>
      </c>
      <c r="J24">
        <f>ROUND(MAX(G24,D24*E24),0)</f>
        <v>85</v>
      </c>
      <c r="K24">
        <f>$B$11</f>
        <v>20</v>
      </c>
      <c r="L24">
        <f>ROUND(J24*K24,2)</f>
        <v>1700</v>
      </c>
    </row>
    <row r="25">
      <c r="A25" t="inlineStr">
        <is>
          <t>2027-01-01</t>
        </is>
      </c>
      <c r="B25">
        <v>1</v>
      </c>
      <c r="C25" t="inlineStr">
        <is>
          <t>phase_1_user_growth</t>
        </is>
      </c>
      <c r="D25">
        <f>'MAU &amp; Operating Metrics'!$F29</f>
        <v>3060</v>
      </c>
      <c r="E25">
        <f>E24+($B$6-E24)*$B$7</f>
        <v>0.0176</v>
      </c>
      <c r="F25">
        <f>F24+($B$9-F24)*$B$10</f>
        <v>0.4384</v>
      </c>
      <c r="G25">
        <f>ROUND(IF(ROW()=15,0,J24)*F25,0)</f>
        <v>37</v>
      </c>
      <c r="H25">
        <f>ROUND(MAX(0,J25-G25),0)</f>
        <v>17</v>
      </c>
      <c r="I25">
        <f>ROUND(MAX(0,IF(ROW()=15,0,J24)-G25),0)</f>
        <v>48</v>
      </c>
      <c r="J25">
        <f>ROUND(MAX(G25,D25*E25),0)</f>
        <v>54</v>
      </c>
      <c r="K25">
        <f>$B$11</f>
        <v>20</v>
      </c>
      <c r="L25">
        <f>ROUND(J25*K25,2)</f>
        <v>1080</v>
      </c>
    </row>
    <row r="26">
      <c r="A26" t="inlineStr">
        <is>
          <t>2027-02-01</t>
        </is>
      </c>
      <c r="B26">
        <v>1</v>
      </c>
      <c r="C26" t="inlineStr">
        <is>
          <t>phase_1_user_growth</t>
        </is>
      </c>
      <c r="D26">
        <f>'MAU &amp; Operating Metrics'!$F30</f>
        <v>3254</v>
      </c>
      <c r="E26">
        <f>E25+($B$6-E25)*$B$7</f>
        <v>0.0182</v>
      </c>
      <c r="F26">
        <f>F25+($B$9-F25)*$B$10</f>
        <v>0.4481</v>
      </c>
      <c r="G26">
        <f>ROUND(IF(ROW()=15,0,J25)*F26,0)</f>
        <v>24</v>
      </c>
      <c r="H26">
        <f>ROUND(MAX(0,J26-G26),0)</f>
        <v>35</v>
      </c>
      <c r="I26">
        <f>ROUND(MAX(0,IF(ROW()=15,0,J25)-G26),0)</f>
        <v>30</v>
      </c>
      <c r="J26">
        <f>ROUND(MAX(G26,D26*E26),0)</f>
        <v>59</v>
      </c>
      <c r="K26">
        <f>$B$11</f>
        <v>20</v>
      </c>
      <c r="L26">
        <f>ROUND(J26*K26,2)</f>
        <v>1180</v>
      </c>
    </row>
    <row r="27">
      <c r="A27" t="inlineStr">
        <is>
          <t>2027-03-01</t>
        </is>
      </c>
      <c r="B27">
        <v>2</v>
      </c>
      <c r="C27" t="inlineStr">
        <is>
          <t>phase_2_marketplace_activation</t>
        </is>
      </c>
      <c r="D27">
        <f>'MAU &amp; Operating Metrics'!$F31</f>
        <v>3008</v>
      </c>
      <c r="E27">
        <f>E26+($B$6-E26)*$B$7</f>
        <v>0.0187</v>
      </c>
      <c r="F27">
        <f>F26+($B$9-F26)*$B$10</f>
        <v>0.4572</v>
      </c>
      <c r="G27">
        <f>ROUND(IF(ROW()=15,0,J26)*F27,0)</f>
        <v>27</v>
      </c>
      <c r="H27">
        <f>ROUND(MAX(0,J27-G27),0)</f>
        <v>29</v>
      </c>
      <c r="I27">
        <f>ROUND(MAX(0,IF(ROW()=15,0,J26)-G27),0)</f>
        <v>32</v>
      </c>
      <c r="J27">
        <f>ROUND(MAX(G27,D27*E27),0)</f>
        <v>56</v>
      </c>
      <c r="K27">
        <f>$B$11</f>
        <v>20</v>
      </c>
      <c r="L27">
        <f>ROUND(J27*K27,2)</f>
        <v>1120</v>
      </c>
    </row>
    <row r="28">
      <c r="A28" t="inlineStr">
        <is>
          <t>2027-04-01</t>
        </is>
      </c>
      <c r="B28">
        <v>2</v>
      </c>
      <c r="C28" t="inlineStr">
        <is>
          <t>phase_2_marketplace_activation</t>
        </is>
      </c>
      <c r="D28">
        <f>'MAU &amp; Operating Metrics'!$F32</f>
        <v>3144</v>
      </c>
      <c r="E28">
        <f>E27+($B$6-E27)*$B$7</f>
        <v>0.0192</v>
      </c>
      <c r="F28">
        <f>F27+($B$9-F27)*$B$10</f>
        <v>0.4658</v>
      </c>
      <c r="G28">
        <f>ROUND(IF(ROW()=15,0,J27)*F28,0)</f>
        <v>26</v>
      </c>
      <c r="H28">
        <f>ROUND(MAX(0,J28-G28),0)</f>
        <v>34</v>
      </c>
      <c r="I28">
        <f>ROUND(MAX(0,IF(ROW()=15,0,J27)-G28),0)</f>
        <v>30</v>
      </c>
      <c r="J28">
        <f>ROUND(MAX(G28,D28*E28),0)</f>
        <v>61</v>
      </c>
      <c r="K28">
        <f>$B$11</f>
        <v>20</v>
      </c>
      <c r="L28">
        <f>ROUND(J28*K28,2)</f>
        <v>1220</v>
      </c>
    </row>
    <row r="29">
      <c r="A29" t="inlineStr">
        <is>
          <t>2027-05-01</t>
        </is>
      </c>
      <c r="B29">
        <v>2</v>
      </c>
      <c r="C29" t="inlineStr">
        <is>
          <t>phase_2_marketplace_activation</t>
        </is>
      </c>
      <c r="D29">
        <f>'MAU &amp; Operating Metrics'!$F33</f>
        <v>3735</v>
      </c>
      <c r="E29">
        <f>E28+($B$6-E28)*$B$7</f>
        <v>0.0197</v>
      </c>
      <c r="F29">
        <f>F28+($B$9-F28)*$B$10</f>
        <v>0.4738</v>
      </c>
      <c r="G29">
        <f>ROUND(IF(ROW()=15,0,J28)*F29,0)</f>
        <v>29</v>
      </c>
      <c r="H29">
        <f>ROUND(MAX(0,J29-G29),0)</f>
        <v>45</v>
      </c>
      <c r="I29">
        <f>ROUND(MAX(0,IF(ROW()=15,0,J28)-G29),0)</f>
        <v>32</v>
      </c>
      <c r="J29">
        <f>ROUND(MAX(G29,D29*E29),0)</f>
        <v>74</v>
      </c>
      <c r="K29">
        <f>$B$11</f>
        <v>20</v>
      </c>
      <c r="L29">
        <f>ROUND(J29*K29,2)</f>
        <v>1480</v>
      </c>
    </row>
    <row r="30">
      <c r="A30" t="inlineStr">
        <is>
          <t>2027-06-01</t>
        </is>
      </c>
      <c r="B30">
        <v>2</v>
      </c>
      <c r="C30" t="inlineStr">
        <is>
          <t>phase_2_marketplace_activation</t>
        </is>
      </c>
      <c r="D30">
        <f>'MAU &amp; Operating Metrics'!$F34</f>
        <v>3796</v>
      </c>
      <c r="E30">
        <f>E29+($B$6-E29)*$B$7</f>
        <v>0.0201</v>
      </c>
      <c r="F30">
        <f>F29+($B$9-F29)*$B$10</f>
        <v>0.4814</v>
      </c>
      <c r="G30">
        <f>ROUND(IF(ROW()=15,0,J29)*F30,0)</f>
        <v>35</v>
      </c>
      <c r="H30">
        <f>ROUND(MAX(0,J30-G30),0)</f>
        <v>41</v>
      </c>
      <c r="I30">
        <f>ROUND(MAX(0,IF(ROW()=15,0,J29)-G30),0)</f>
        <v>38</v>
      </c>
      <c r="J30">
        <f>ROUND(MAX(G30,D30*E30),0)</f>
        <v>76</v>
      </c>
      <c r="K30">
        <f>$B$11</f>
        <v>20</v>
      </c>
      <c r="L30">
        <f>ROUND(J30*K30,2)</f>
        <v>1520</v>
      </c>
    </row>
    <row r="31">
      <c r="A31" t="inlineStr">
        <is>
          <t>2027-07-01</t>
        </is>
      </c>
      <c r="B31">
        <v>2</v>
      </c>
      <c r="C31" t="inlineStr">
        <is>
          <t>phase_2_marketplace_activation</t>
        </is>
      </c>
      <c r="D31">
        <f>'MAU &amp; Operating Metrics'!$F35</f>
        <v>4046</v>
      </c>
      <c r="E31">
        <f>E30+($B$6-E30)*$B$7</f>
        <v>0.0205</v>
      </c>
      <c r="F31">
        <f>F30+($B$9-F30)*$B$10</f>
        <v>0.4885</v>
      </c>
      <c r="G31">
        <f>ROUND(IF(ROW()=15,0,J30)*F31,0)</f>
        <v>37</v>
      </c>
      <c r="H31">
        <f>ROUND(MAX(0,J31-G31),0)</f>
        <v>46</v>
      </c>
      <c r="I31">
        <f>ROUND(MAX(0,IF(ROW()=15,0,J30)-G31),0)</f>
        <v>39</v>
      </c>
      <c r="J31">
        <f>ROUND(MAX(G31,D31*E31),0)</f>
        <v>83</v>
      </c>
      <c r="K31">
        <f>$B$11</f>
        <v>20</v>
      </c>
      <c r="L31">
        <f>ROUND(J31*K31,2)</f>
        <v>1660</v>
      </c>
    </row>
    <row r="32">
      <c r="A32" t="inlineStr">
        <is>
          <t>2027-08-01</t>
        </is>
      </c>
      <c r="B32">
        <v>2</v>
      </c>
      <c r="C32" t="inlineStr">
        <is>
          <t>phase_2_marketplace_activation</t>
        </is>
      </c>
      <c r="D32">
        <f>'MAU &amp; Operating Metrics'!$F36</f>
        <v>4196</v>
      </c>
      <c r="E32">
        <f>E31+($B$6-E31)*$B$7</f>
        <v>0.0209</v>
      </c>
      <c r="F32">
        <f>F31+($B$9-F31)*$B$10</f>
        <v>0.4952</v>
      </c>
      <c r="G32">
        <f>ROUND(IF(ROW()=15,0,J31)*F32,0)</f>
        <v>41</v>
      </c>
      <c r="H32">
        <f>ROUND(MAX(0,J32-G32),0)</f>
        <v>46</v>
      </c>
      <c r="I32">
        <f>ROUND(MAX(0,IF(ROW()=15,0,J31)-G32),0)</f>
        <v>42</v>
      </c>
      <c r="J32">
        <f>ROUND(MAX(G32,D32*E32),0)</f>
        <v>88</v>
      </c>
      <c r="K32">
        <f>$B$11</f>
        <v>20</v>
      </c>
      <c r="L32">
        <f>ROUND(J32*K32,2)</f>
        <v>1760</v>
      </c>
    </row>
    <row r="33">
      <c r="A33" t="inlineStr">
        <is>
          <t>2027-09-01</t>
        </is>
      </c>
      <c r="B33">
        <v>2</v>
      </c>
      <c r="C33" t="inlineStr">
        <is>
          <t>phase_2_marketplace_activation</t>
        </is>
      </c>
      <c r="D33">
        <f>'MAU &amp; Operating Metrics'!$F37</f>
        <v>4401</v>
      </c>
      <c r="E33">
        <f>E32+($B$6-E32)*$B$7</f>
        <v>0.0212</v>
      </c>
      <c r="F33">
        <f>F32+($B$9-F32)*$B$10</f>
        <v>0.5015</v>
      </c>
      <c r="G33">
        <f>ROUND(IF(ROW()=15,0,J32)*F33,0)</f>
        <v>44</v>
      </c>
      <c r="H33">
        <f>ROUND(MAX(0,J33-G33),0)</f>
        <v>49</v>
      </c>
      <c r="I33">
        <f>ROUND(MAX(0,IF(ROW()=15,0,J32)-G33),0)</f>
        <v>44</v>
      </c>
      <c r="J33">
        <f>ROUND(MAX(G33,D33*E33),0)</f>
        <v>93</v>
      </c>
      <c r="K33">
        <f>$B$11</f>
        <v>20</v>
      </c>
      <c r="L33">
        <f>ROUND(J33*K33,2)</f>
        <v>1860</v>
      </c>
    </row>
    <row r="34">
      <c r="A34" t="inlineStr">
        <is>
          <t>2027-10-01</t>
        </is>
      </c>
      <c r="B34">
        <v>2</v>
      </c>
      <c r="C34" t="inlineStr">
        <is>
          <t>phase_2_marketplace_activation</t>
        </is>
      </c>
      <c r="D34">
        <f>'MAU &amp; Operating Metrics'!$F38</f>
        <v>4778</v>
      </c>
      <c r="E34">
        <f>E33+($B$6-E33)*$B$7</f>
        <v>0.0215</v>
      </c>
      <c r="F34">
        <f>F33+($B$9-F33)*$B$10</f>
        <v>0.5074</v>
      </c>
      <c r="G34">
        <f>ROUND(IF(ROW()=15,0,J33)*F34,0)</f>
        <v>47</v>
      </c>
      <c r="H34">
        <f>ROUND(MAX(0,J34-G34),0)</f>
        <v>55</v>
      </c>
      <c r="I34">
        <f>ROUND(MAX(0,IF(ROW()=15,0,J33)-G34),0)</f>
        <v>46</v>
      </c>
      <c r="J34">
        <f>ROUND(MAX(G34,D34*E34),0)</f>
        <v>103</v>
      </c>
      <c r="K34">
        <f>$B$11</f>
        <v>20</v>
      </c>
      <c r="L34">
        <f>ROUND(J34*K34,2)</f>
        <v>2060</v>
      </c>
    </row>
    <row r="35">
      <c r="A35" t="inlineStr">
        <is>
          <t>2027-11-01</t>
        </is>
      </c>
      <c r="B35">
        <v>2</v>
      </c>
      <c r="C35" t="inlineStr">
        <is>
          <t>phase_2_marketplace_activation</t>
        </is>
      </c>
      <c r="D35">
        <f>'MAU &amp; Operating Metrics'!$F39</f>
        <v>6335</v>
      </c>
      <c r="E35">
        <f>E34+($B$6-E34)*$B$7</f>
        <v>0.0218</v>
      </c>
      <c r="F35">
        <f>F34+($B$9-F34)*$B$10</f>
        <v>0.513</v>
      </c>
      <c r="G35">
        <f>ROUND(IF(ROW()=15,0,J34)*F35,0)</f>
        <v>53</v>
      </c>
      <c r="H35">
        <f>ROUND(MAX(0,J35-G35),0)</f>
        <v>85</v>
      </c>
      <c r="I35">
        <f>ROUND(MAX(0,IF(ROW()=15,0,J34)-G35),0)</f>
        <v>50</v>
      </c>
      <c r="J35">
        <f>ROUND(MAX(G35,D35*E35),0)</f>
        <v>138</v>
      </c>
      <c r="K35">
        <f>$B$11</f>
        <v>20</v>
      </c>
      <c r="L35">
        <f>ROUND(J35*K35,2)</f>
        <v>2760</v>
      </c>
    </row>
    <row r="36">
      <c r="A36" t="inlineStr">
        <is>
          <t>2027-12-01</t>
        </is>
      </c>
      <c r="B36">
        <v>2</v>
      </c>
      <c r="C36" t="inlineStr">
        <is>
          <t>phase_2_marketplace_activation</t>
        </is>
      </c>
      <c r="D36">
        <f>'MAU &amp; Operating Metrics'!$F40</f>
        <v>10901</v>
      </c>
      <c r="E36">
        <f>E35+($B$6-E35)*$B$7</f>
        <v>0.022</v>
      </c>
      <c r="F36">
        <f>F35+($B$9-F35)*$B$10</f>
        <v>0.5182</v>
      </c>
      <c r="G36">
        <f>ROUND(IF(ROW()=15,0,J35)*F36,0)</f>
        <v>72</v>
      </c>
      <c r="H36">
        <f>ROUND(MAX(0,J36-G36),0)</f>
        <v>169</v>
      </c>
      <c r="I36">
        <f>ROUND(MAX(0,IF(ROW()=15,0,J35)-G36),0)</f>
        <v>67</v>
      </c>
      <c r="J36">
        <f>ROUND(MAX(G36,D36*E36),0)</f>
        <v>240</v>
      </c>
      <c r="K36">
        <f>$B$11</f>
        <v>20</v>
      </c>
      <c r="L36">
        <f>ROUND(J36*K36,2)</f>
        <v>4800</v>
      </c>
    </row>
    <row r="37">
      <c r="A37" t="inlineStr">
        <is>
          <t>2028-01-01</t>
        </is>
      </c>
      <c r="B37">
        <v>2</v>
      </c>
      <c r="C37" t="inlineStr">
        <is>
          <t>phase_2_marketplace_activation</t>
        </is>
      </c>
      <c r="D37">
        <f>'MAU &amp; Operating Metrics'!$F41</f>
        <v>6677</v>
      </c>
      <c r="E37">
        <f>E36+($B$6-E36)*$B$7</f>
        <v>0.0223</v>
      </c>
      <c r="F37">
        <f>F36+($B$9-F36)*$B$10</f>
        <v>0.5231</v>
      </c>
      <c r="G37">
        <f>ROUND(IF(ROW()=15,0,J36)*F37,0)</f>
        <v>126</v>
      </c>
      <c r="H37">
        <f>ROUND(MAX(0,J37-G37),0)</f>
        <v>23</v>
      </c>
      <c r="I37">
        <f>ROUND(MAX(0,IF(ROW()=15,0,J36)-G37),0)</f>
        <v>115</v>
      </c>
      <c r="J37">
        <f>ROUND(MAX(G37,D37*E37),0)</f>
        <v>149</v>
      </c>
      <c r="K37">
        <f>$B$11</f>
        <v>20</v>
      </c>
      <c r="L37">
        <f>ROUND(J37*K37,2)</f>
        <v>2980</v>
      </c>
    </row>
    <row r="38">
      <c r="A38" t="inlineStr">
        <is>
          <t>2028-02-01</t>
        </is>
      </c>
      <c r="B38">
        <v>2</v>
      </c>
      <c r="C38" t="inlineStr">
        <is>
          <t>phase_2_marketplace_activation</t>
        </is>
      </c>
      <c r="D38">
        <f>'MAU &amp; Operating Metrics'!$F42</f>
        <v>6773</v>
      </c>
      <c r="E38">
        <f>E37+($B$6-E37)*$B$7</f>
        <v>0.0225</v>
      </c>
      <c r="F38">
        <f>F37+($B$9-F37)*$B$10</f>
        <v>0.5277</v>
      </c>
      <c r="G38">
        <f>ROUND(IF(ROW()=15,0,J37)*F38,0)</f>
        <v>79</v>
      </c>
      <c r="H38">
        <f>ROUND(MAX(0,J38-G38),0)</f>
        <v>74</v>
      </c>
      <c r="I38">
        <f>ROUND(MAX(0,IF(ROW()=15,0,J37)-G38),0)</f>
        <v>70</v>
      </c>
      <c r="J38">
        <f>ROUND(MAX(G38,D38*E38),0)</f>
        <v>152</v>
      </c>
      <c r="K38">
        <f>$B$11</f>
        <v>20</v>
      </c>
      <c r="L38">
        <f>ROUND(J38*K38,2)</f>
        <v>3040</v>
      </c>
    </row>
    <row r="39">
      <c r="A39" t="inlineStr">
        <is>
          <t>2028-03-01</t>
        </is>
      </c>
      <c r="B39">
        <v>3</v>
      </c>
      <c r="C39" t="inlineStr">
        <is>
          <t>phase_3_projection</t>
        </is>
      </c>
      <c r="D39">
        <f>'MAU &amp; Operating Metrics'!$F43</f>
        <v>6318</v>
      </c>
      <c r="E39">
        <f>E38+($B$6-E38)*$B$7</f>
        <v>0.0227</v>
      </c>
      <c r="F39">
        <f>F38+($B$9-F38)*$B$10</f>
        <v>0.532</v>
      </c>
      <c r="G39">
        <f>ROUND(IF(ROW()=15,0,J38)*F39,0)</f>
        <v>81</v>
      </c>
      <c r="H39">
        <f>ROUND(MAX(0,J39-G39),0)</f>
        <v>62</v>
      </c>
      <c r="I39">
        <f>ROUND(MAX(0,IF(ROW()=15,0,J38)-G39),0)</f>
        <v>71</v>
      </c>
      <c r="J39">
        <f>ROUND(MAX(G39,D39*E39),0)</f>
        <v>143</v>
      </c>
      <c r="K39">
        <f>$B$11</f>
        <v>20</v>
      </c>
      <c r="L39">
        <f>ROUND(J39*K39,2)</f>
        <v>2860</v>
      </c>
    </row>
    <row r="40">
      <c r="A40" t="inlineStr">
        <is>
          <t>2028-04-01</t>
        </is>
      </c>
      <c r="B40">
        <v>3</v>
      </c>
      <c r="C40" t="inlineStr">
        <is>
          <t>phase_3_projection</t>
        </is>
      </c>
      <c r="D40">
        <f>'MAU &amp; Operating Metrics'!$F44</f>
        <v>6516</v>
      </c>
      <c r="E40">
        <f>E39+($B$6-E39)*$B$7</f>
        <v>0.0229</v>
      </c>
      <c r="F40">
        <f>F39+($B$9-F39)*$B$10</f>
        <v>0.5361</v>
      </c>
      <c r="G40">
        <f>ROUND(IF(ROW()=15,0,J39)*F40,0)</f>
        <v>77</v>
      </c>
      <c r="H40">
        <f>ROUND(MAX(0,J40-G40),0)</f>
        <v>72</v>
      </c>
      <c r="I40">
        <f>ROUND(MAX(0,IF(ROW()=15,0,J39)-G40),0)</f>
        <v>67</v>
      </c>
      <c r="J40">
        <f>ROUND(MAX(G40,D40*E40),0)</f>
        <v>149</v>
      </c>
      <c r="K40">
        <f>$B$11</f>
        <v>20</v>
      </c>
      <c r="L40">
        <f>ROUND(J40*K40,2)</f>
        <v>2980</v>
      </c>
    </row>
    <row r="41">
      <c r="A41" t="inlineStr">
        <is>
          <t>2028-05-01</t>
        </is>
      </c>
      <c r="B41">
        <v>3</v>
      </c>
      <c r="C41" t="inlineStr">
        <is>
          <t>phase_3_projection</t>
        </is>
      </c>
      <c r="D41">
        <f>'MAU &amp; Operating Metrics'!$F45</f>
        <v>7355</v>
      </c>
      <c r="E41">
        <f>E40+($B$6-E40)*$B$7</f>
        <v>0.0231</v>
      </c>
      <c r="F41">
        <f>F40+($B$9-F40)*$B$10</f>
        <v>0.54</v>
      </c>
      <c r="G41">
        <f>ROUND(IF(ROW()=15,0,J40)*F41,0)</f>
        <v>81</v>
      </c>
      <c r="H41">
        <f>ROUND(MAX(0,J41-G41),0)</f>
        <v>89</v>
      </c>
      <c r="I41">
        <f>ROUND(MAX(0,IF(ROW()=15,0,J40)-G41),0)</f>
        <v>69</v>
      </c>
      <c r="J41">
        <f>ROUND(MAX(G41,D41*E41),0)</f>
        <v>170</v>
      </c>
      <c r="K41">
        <f>$B$11</f>
        <v>20</v>
      </c>
      <c r="L41">
        <f>ROUND(J41*K41,2)</f>
        <v>3400</v>
      </c>
    </row>
    <row r="42">
      <c r="A42" t="inlineStr">
        <is>
          <t>2028-06-01</t>
        </is>
      </c>
      <c r="B42">
        <v>3</v>
      </c>
      <c r="C42" t="inlineStr">
        <is>
          <t>phase_3_projection</t>
        </is>
      </c>
      <c r="D42">
        <f>'MAU &amp; Operating Metrics'!$F46</f>
        <v>7211</v>
      </c>
      <c r="E42">
        <f>E41+($B$6-E41)*$B$7</f>
        <v>0.0232</v>
      </c>
      <c r="F42">
        <f>F41+($B$9-F41)*$B$10</f>
        <v>0.5436</v>
      </c>
      <c r="G42">
        <f>ROUND(IF(ROW()=15,0,J41)*F42,0)</f>
        <v>92</v>
      </c>
      <c r="H42">
        <f>ROUND(MAX(0,J42-G42),0)</f>
        <v>75</v>
      </c>
      <c r="I42">
        <f>ROUND(MAX(0,IF(ROW()=15,0,J41)-G42),0)</f>
        <v>77</v>
      </c>
      <c r="J42">
        <f>ROUND(MAX(G42,D42*E42),0)</f>
        <v>167</v>
      </c>
      <c r="K42">
        <f>$B$11</f>
        <v>20</v>
      </c>
      <c r="L42">
        <f>ROUND(J42*K42,2)</f>
        <v>3340</v>
      </c>
    </row>
    <row r="43">
      <c r="A43" t="inlineStr">
        <is>
          <t>2028-07-01</t>
        </is>
      </c>
      <c r="B43">
        <v>3</v>
      </c>
      <c r="C43" t="inlineStr">
        <is>
          <t>phase_3_projection</t>
        </is>
      </c>
      <c r="D43">
        <f>'MAU &amp; Operating Metrics'!$F47</f>
        <v>7422</v>
      </c>
      <c r="E43">
        <f>E42+($B$6-E42)*$B$7</f>
        <v>0.0234</v>
      </c>
      <c r="F43">
        <f>F42+($B$9-F42)*$B$10</f>
        <v>0.5469</v>
      </c>
      <c r="G43">
        <f>ROUND(IF(ROW()=15,0,J42)*F43,0)</f>
        <v>92</v>
      </c>
      <c r="H43">
        <f>ROUND(MAX(0,J43-G43),0)</f>
        <v>82</v>
      </c>
      <c r="I43">
        <f>ROUND(MAX(0,IF(ROW()=15,0,J42)-G43),0)</f>
        <v>76</v>
      </c>
      <c r="J43">
        <f>ROUND(MAX(G43,D43*E43),0)</f>
        <v>173</v>
      </c>
      <c r="K43">
        <f>$B$11</f>
        <v>20</v>
      </c>
      <c r="L43">
        <f>ROUND(J43*K43,2)</f>
        <v>3460</v>
      </c>
    </row>
    <row r="44">
      <c r="A44" t="inlineStr">
        <is>
          <t>2028-08-01</t>
        </is>
      </c>
      <c r="B44">
        <v>3</v>
      </c>
      <c r="C44" t="inlineStr">
        <is>
          <t>phase_3_projection</t>
        </is>
      </c>
      <c r="D44">
        <f>'MAU &amp; Operating Metrics'!$F48</f>
        <v>7654</v>
      </c>
      <c r="E44">
        <f>E43+($B$6-E43)*$B$7</f>
        <v>0.0235</v>
      </c>
      <c r="F44">
        <f>F43+($B$9-F43)*$B$10</f>
        <v>0.5501</v>
      </c>
      <c r="G44">
        <f>ROUND(IF(ROW()=15,0,J43)*F44,0)</f>
        <v>95</v>
      </c>
      <c r="H44">
        <f>ROUND(MAX(0,J44-G44),0)</f>
        <v>84</v>
      </c>
      <c r="I44">
        <f>ROUND(MAX(0,IF(ROW()=15,0,J43)-G44),0)</f>
        <v>78</v>
      </c>
      <c r="J44">
        <f>ROUND(MAX(G44,D44*E44),0)</f>
        <v>180</v>
      </c>
      <c r="K44">
        <f>$B$11</f>
        <v>20</v>
      </c>
      <c r="L44">
        <f>ROUND(J44*K44,2)</f>
        <v>3600</v>
      </c>
    </row>
    <row r="45">
      <c r="A45" t="inlineStr">
        <is>
          <t>2028-09-01</t>
        </is>
      </c>
      <c r="B45">
        <v>3</v>
      </c>
      <c r="C45" t="inlineStr">
        <is>
          <t>phase_3_projection</t>
        </is>
      </c>
      <c r="D45">
        <f>'MAU &amp; Operating Metrics'!$F49</f>
        <v>7705</v>
      </c>
      <c r="E45">
        <f>E44+($B$6-E44)*$B$7</f>
        <v>0.0236</v>
      </c>
      <c r="F45">
        <f>F44+($B$9-F44)*$B$10</f>
        <v>0.5531</v>
      </c>
      <c r="G45">
        <f>ROUND(IF(ROW()=15,0,J44)*F45,0)</f>
        <v>99</v>
      </c>
      <c r="H45">
        <f>ROUND(MAX(0,J45-G45),0)</f>
        <v>82</v>
      </c>
      <c r="I45">
        <f>ROUND(MAX(0,IF(ROW()=15,0,J44)-G45),0)</f>
        <v>80</v>
      </c>
      <c r="J45">
        <f>ROUND(MAX(G45,D45*E45),0)</f>
        <v>182</v>
      </c>
      <c r="K45">
        <f>$B$11</f>
        <v>20</v>
      </c>
      <c r="L45">
        <f>ROUND(J45*K45,2)</f>
        <v>3640</v>
      </c>
    </row>
    <row r="46">
      <c r="A46" t="inlineStr">
        <is>
          <t>2028-10-01</t>
        </is>
      </c>
      <c r="B46">
        <v>3</v>
      </c>
      <c r="C46" t="inlineStr">
        <is>
          <t>phase_3_projection</t>
        </is>
      </c>
      <c r="D46">
        <f>'MAU &amp; Operating Metrics'!$F50</f>
        <v>8190</v>
      </c>
      <c r="E46">
        <f>E45+($B$6-E45)*$B$7</f>
        <v>0.0237</v>
      </c>
      <c r="F46">
        <f>F45+($B$9-F45)*$B$10</f>
        <v>0.5559</v>
      </c>
      <c r="G46">
        <f>ROUND(IF(ROW()=15,0,J45)*F46,0)</f>
        <v>101</v>
      </c>
      <c r="H46">
        <f>ROUND(MAX(0,J46-G46),0)</f>
        <v>93</v>
      </c>
      <c r="I46">
        <f>ROUND(MAX(0,IF(ROW()=15,0,J45)-G46),0)</f>
        <v>81</v>
      </c>
      <c r="J46">
        <f>ROUND(MAX(G46,D46*E46),0)</f>
        <v>194</v>
      </c>
      <c r="K46">
        <f>$B$11</f>
        <v>20</v>
      </c>
      <c r="L46">
        <f>ROUND(J46*K46,2)</f>
        <v>3880</v>
      </c>
    </row>
    <row r="47">
      <c r="A47" t="inlineStr">
        <is>
          <t>2028-11-01</t>
        </is>
      </c>
      <c r="B47">
        <v>3</v>
      </c>
      <c r="C47" t="inlineStr">
        <is>
          <t>phase_3_projection</t>
        </is>
      </c>
      <c r="D47">
        <f>'MAU &amp; Operating Metrics'!$F51</f>
        <v>10575</v>
      </c>
      <c r="E47">
        <f>E46+($B$6-E46)*$B$7</f>
        <v>0.0238</v>
      </c>
      <c r="F47">
        <f>F46+($B$9-F46)*$B$10</f>
        <v>0.5586</v>
      </c>
      <c r="G47">
        <f>ROUND(IF(ROW()=15,0,J46)*F47,0)</f>
        <v>109</v>
      </c>
      <c r="H47">
        <f>ROUND(MAX(0,J47-G47),0)</f>
        <v>143</v>
      </c>
      <c r="I47">
        <f>ROUND(MAX(0,IF(ROW()=15,0,J46)-G47),0)</f>
        <v>86</v>
      </c>
      <c r="J47">
        <f>ROUND(MAX(G47,D47*E47),0)</f>
        <v>252</v>
      </c>
      <c r="K47">
        <f>$B$11</f>
        <v>20</v>
      </c>
      <c r="L47">
        <f>ROUND(J47*K47,2)</f>
        <v>5040</v>
      </c>
    </row>
    <row r="48">
      <c r="A48" t="inlineStr">
        <is>
          <t>2028-12-01</t>
        </is>
      </c>
      <c r="B48">
        <v>3</v>
      </c>
      <c r="C48" t="inlineStr">
        <is>
          <t>phase_3_projection</t>
        </is>
      </c>
      <c r="D48">
        <f>'MAU &amp; Operating Metrics'!$F52</f>
        <v>16835</v>
      </c>
      <c r="E48">
        <f>E47+($B$6-E47)*$B$7</f>
        <v>0.0239</v>
      </c>
      <c r="F48">
        <f>F47+($B$9-F47)*$B$10</f>
        <v>0.5611</v>
      </c>
      <c r="G48">
        <f>ROUND(IF(ROW()=15,0,J47)*F48,0)</f>
        <v>141</v>
      </c>
      <c r="H48">
        <f>ROUND(MAX(0,J48-G48),0)</f>
        <v>261</v>
      </c>
      <c r="I48">
        <f>ROUND(MAX(0,IF(ROW()=15,0,J47)-G48),0)</f>
        <v>111</v>
      </c>
      <c r="J48">
        <f>ROUND(MAX(G48,D48*E48),0)</f>
        <v>403</v>
      </c>
      <c r="K48">
        <f>$B$11</f>
        <v>20</v>
      </c>
      <c r="L48">
        <f>ROUND(J48*K48,2)</f>
        <v>8060</v>
      </c>
    </row>
    <row r="49">
      <c r="A49" t="inlineStr">
        <is>
          <t>2029-01-01</t>
        </is>
      </c>
      <c r="B49">
        <v>3</v>
      </c>
      <c r="C49" t="inlineStr">
        <is>
          <t>phase_3_projection</t>
        </is>
      </c>
      <c r="D49">
        <f>'MAU &amp; Operating Metrics'!$F53</f>
        <v>10697</v>
      </c>
      <c r="E49">
        <f>E48+($B$6-E48)*$B$7</f>
        <v>0.024</v>
      </c>
      <c r="F49">
        <f>F48+($B$9-F48)*$B$10</f>
        <v>0.5634</v>
      </c>
      <c r="G49">
        <f>ROUND(IF(ROW()=15,0,J48)*F49,0)</f>
        <v>227</v>
      </c>
      <c r="H49">
        <f>ROUND(MAX(0,J49-G49),0)</f>
        <v>30</v>
      </c>
      <c r="I49">
        <f>ROUND(MAX(0,IF(ROW()=15,0,J48)-G49),0)</f>
        <v>176</v>
      </c>
      <c r="J49">
        <f>ROUND(MAX(G49,D49*E49),0)</f>
        <v>257</v>
      </c>
      <c r="K49">
        <f>$B$11</f>
        <v>20</v>
      </c>
      <c r="L49">
        <f>ROUND(J49*K49,2)</f>
        <v>5140</v>
      </c>
    </row>
    <row r="50">
      <c r="A50" t="inlineStr">
        <is>
          <t>2029-02-01</t>
        </is>
      </c>
      <c r="B50">
        <v>3</v>
      </c>
      <c r="C50" t="inlineStr">
        <is>
          <t>phase_3_projection</t>
        </is>
      </c>
      <c r="D50">
        <f>'MAU &amp; Operating Metrics'!$F54</f>
        <v>10788</v>
      </c>
      <c r="E50">
        <f>E49+($B$6-E49)*$B$7</f>
        <v>0.0241</v>
      </c>
      <c r="F50">
        <f>F49+($B$9-F49)*$B$10</f>
        <v>0.5656</v>
      </c>
      <c r="G50">
        <f>ROUND(IF(ROW()=15,0,J49)*F50,0)</f>
        <v>145</v>
      </c>
      <c r="H50">
        <f>ROUND(MAX(0,J50-G50),0)</f>
        <v>115</v>
      </c>
      <c r="I50">
        <f>ROUND(MAX(0,IF(ROW()=15,0,J49)-G50),0)</f>
        <v>112</v>
      </c>
      <c r="J50">
        <f>ROUND(MAX(G50,D50*E50),0)</f>
        <v>260</v>
      </c>
      <c r="K50">
        <f>$B$11</f>
        <v>20</v>
      </c>
      <c r="L50">
        <f>ROUND(J50*K50,2)</f>
        <v>5200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8"/>
  <sheetViews>
    <sheetView workbookViewId="0"/>
  </sheetViews>
  <sheetFormatPr defaultRowHeight="15"/>
  <sheetData>
    <row r="1">
      <c r="A1" t="inlineStr">
        <is>
          <t>[Advertising Assumptions]</t>
        </is>
      </c>
      <c r="B1" t="inlineStr">
        <is>
          <t/>
        </is>
      </c>
      <c r="C1" t="inlineStr">
        <is>
          <t>Inputs used by the ad revenue projection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projection_months</t>
        </is>
      </c>
      <c r="B3">
        <v>36</v>
      </c>
      <c r="C3" t="inlineStr">
        <is>
          <t>Number of projected monthly rows in the workbook model.</t>
        </is>
      </c>
    </row>
    <row r="4">
      <c r="A4" t="inlineStr">
        <is>
          <t>projection_start_month</t>
        </is>
      </c>
      <c r="B4" t="inlineStr">
        <is>
          <t>2026-03</t>
        </is>
      </c>
      <c r="C4" t="inlineStr">
        <is>
          <t>First month of the synthetic projection in YYYY-MM format.</t>
        </is>
      </c>
    </row>
    <row r="5">
      <c r="A5" t="inlineStr">
        <is>
          <t>sessions_per_mau</t>
        </is>
      </c>
      <c r="B5">
        <v>3</v>
      </c>
      <c r="C5" t="inlineStr">
        <is>
          <t>Monthly sessions generated by each monthly active user.</t>
        </is>
      </c>
    </row>
    <row r="6">
      <c r="A6" t="inlineStr">
        <is>
          <t>pageviews_per_session</t>
        </is>
      </c>
      <c r="B6">
        <v>5</v>
      </c>
      <c r="C6" t="inlineStr">
        <is>
          <t>Average pageviews generated in each session.</t>
        </is>
      </c>
    </row>
    <row r="7">
      <c r="A7" t="inlineStr">
        <is>
          <t>ad_action_rate_per_pageview</t>
        </is>
      </c>
      <c r="B7">
        <v>0.003</v>
      </c>
      <c r="C7" t="inlineStr">
        <is>
          <t>Share of pageviews that convert into a CPA-qualified action.</t>
        </is>
      </c>
    </row>
    <row r="8">
      <c r="A8" t="inlineStr">
        <is>
          <t>ad_cpa_usd</t>
        </is>
      </c>
      <c r="B8">
        <v>3</v>
      </c>
      <c r="C8" t="inlineStr">
        <is>
          <t>CPA payout in USD for each modeled ad action.</t>
        </is>
      </c>
    </row>
    <row r="9">
      <c r="A9" t="inlineStr">
        <is>
          <t>jitter_std</t>
        </is>
      </c>
      <c r="B9">
        <v>0.05</v>
      </c>
      <c r="C9" t="inlineStr">
        <is>
          <t>Standard deviation used by the random-driver formulas.</t>
        </is>
      </c>
    </row>
    <row r="10">
      <c r="A10" t="inlineStr">
        <is>
          <t>dependency</t>
        </is>
      </c>
      <c r="B10" t="inlineStr">
        <is>
          <t>MAU &amp; Operating Metrics.mau</t>
        </is>
      </c>
      <c r="C10" t="inlineStr">
        <is>
          <t>Ad calculations are derived from MAU &amp; Operating Metrics, sessions, and pageviews.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/>
        </is>
      </c>
    </row>
    <row r="12">
      <c r="A12" t="inlineStr">
        <is>
          <t>month</t>
        </is>
      </c>
      <c r="B12" t="inlineStr">
        <is>
          <t>year_index</t>
        </is>
      </c>
      <c r="C12" t="inlineStr">
        <is>
          <t>phase</t>
        </is>
      </c>
      <c r="D12" t="inlineStr">
        <is>
          <t>sessions_per_mau</t>
        </is>
      </c>
      <c r="E12" t="inlineStr">
        <is>
          <t>pageviews_per_session</t>
        </is>
      </c>
      <c r="F12" t="inlineStr">
        <is>
          <t>sessions</t>
        </is>
      </c>
      <c r="G12" t="inlineStr">
        <is>
          <t>pageviews</t>
        </is>
      </c>
      <c r="H12" t="inlineStr">
        <is>
          <t>ad_action_rate_per_pageview</t>
        </is>
      </c>
      <c r="I12" t="inlineStr">
        <is>
          <t>noise_ad</t>
        </is>
      </c>
      <c r="J12" t="inlineStr">
        <is>
          <t>ad_actions</t>
        </is>
      </c>
      <c r="K12" t="inlineStr">
        <is>
          <t>ad_cpa_usd</t>
        </is>
      </c>
      <c r="L12" t="inlineStr">
        <is>
          <t>ad_revenue_usd</t>
        </is>
      </c>
    </row>
    <row r="13">
      <c r="A13" t="inlineStr">
        <is>
          <t>2026-03-01</t>
        </is>
      </c>
      <c r="B13">
        <v>1</v>
      </c>
      <c r="C13" t="inlineStr">
        <is>
          <t>phase_1_user_growth</t>
        </is>
      </c>
      <c r="D13">
        <f>$B$5</f>
        <v>3</v>
      </c>
      <c r="E13">
        <f>$B$6</f>
        <v>5</v>
      </c>
      <c r="F13">
        <f>ROUND('MAU &amp; Operating Metrics'!$F19*D13,0)</f>
        <v>1839</v>
      </c>
      <c r="G13">
        <f>ROUND(F13*E13,0)</f>
        <v>9195</v>
      </c>
      <c r="H13">
        <f>$B$7</f>
        <v>0.003</v>
      </c>
      <c r="I13">
        <f>MAX(0.8,1+_xlfn.NORM.INV(RAND(),0,$B$9*0.3))</f>
        <v>1.024946</v>
      </c>
      <c r="J13">
        <f>ROUND(G13*H13*I13,0)</f>
        <v>28</v>
      </c>
      <c r="K13">
        <f>$B$8</f>
        <v>3</v>
      </c>
      <c r="L13">
        <f>ROUND(J13*K13,2)</f>
        <v>84.82</v>
      </c>
    </row>
    <row r="14">
      <c r="A14" t="inlineStr">
        <is>
          <t>2026-04-01</t>
        </is>
      </c>
      <c r="B14">
        <v>1</v>
      </c>
      <c r="C14" t="inlineStr">
        <is>
          <t>phase_1_user_growth</t>
        </is>
      </c>
      <c r="D14">
        <f>$B$5</f>
        <v>3</v>
      </c>
      <c r="E14">
        <f>$B$6</f>
        <v>5</v>
      </c>
      <c r="F14">
        <f>ROUND('MAU &amp; Operating Metrics'!$F20*D14,0)</f>
        <v>2370</v>
      </c>
      <c r="G14">
        <f>ROUND(F14*E14,0)</f>
        <v>11850</v>
      </c>
      <c r="H14">
        <f>$B$7</f>
        <v>0.003</v>
      </c>
      <c r="I14">
        <f>MAX(0.8,1+_xlfn.NORM.INV(RAND(),0,$B$9*0.3))</f>
        <v>0.991229</v>
      </c>
      <c r="J14">
        <f>ROUND(G14*H14*I14,0)</f>
        <v>35</v>
      </c>
      <c r="K14">
        <f>$B$8</f>
        <v>3</v>
      </c>
      <c r="L14">
        <f>ROUND(J14*K14,2)</f>
        <v>105.71</v>
      </c>
    </row>
    <row r="15">
      <c r="A15" t="inlineStr">
        <is>
          <t>2026-05-01</t>
        </is>
      </c>
      <c r="B15">
        <v>1</v>
      </c>
      <c r="C15" t="inlineStr">
        <is>
          <t>phase_1_user_growth</t>
        </is>
      </c>
      <c r="D15">
        <f>$B$5</f>
        <v>3</v>
      </c>
      <c r="E15">
        <f>$B$6</f>
        <v>5</v>
      </c>
      <c r="F15">
        <f>ROUND('MAU &amp; Operating Metrics'!$F21*D15,0)</f>
        <v>3303</v>
      </c>
      <c r="G15">
        <f>ROUND(F15*E15,0)</f>
        <v>16515</v>
      </c>
      <c r="H15">
        <f>$B$7</f>
        <v>0.003</v>
      </c>
      <c r="I15">
        <f>MAX(0.8,1+_xlfn.NORM.INV(RAND(),0,$B$9*0.3))</f>
        <v>0.993722</v>
      </c>
      <c r="J15">
        <f>ROUND(G15*H15*I15,0)</f>
        <v>49</v>
      </c>
      <c r="K15">
        <f>$B$8</f>
        <v>3</v>
      </c>
      <c r="L15">
        <f>ROUND(J15*K15,2)</f>
        <v>147.7</v>
      </c>
    </row>
    <row r="16">
      <c r="A16" t="inlineStr">
        <is>
          <t>2026-06-01</t>
        </is>
      </c>
      <c r="B16">
        <v>1</v>
      </c>
      <c r="C16" t="inlineStr">
        <is>
          <t>phase_1_user_growth</t>
        </is>
      </c>
      <c r="D16">
        <f>$B$5</f>
        <v>3</v>
      </c>
      <c r="E16">
        <f>$B$6</f>
        <v>5</v>
      </c>
      <c r="F16">
        <f>ROUND('MAU &amp; Operating Metrics'!$F22*D16,0)</f>
        <v>3513</v>
      </c>
      <c r="G16">
        <f>ROUND(F16*E16,0)</f>
        <v>17565</v>
      </c>
      <c r="H16">
        <f>$B$7</f>
        <v>0.003</v>
      </c>
      <c r="I16">
        <f>MAX(0.8,1+_xlfn.NORM.INV(RAND(),0,$B$9*0.3))</f>
        <v>0.986639</v>
      </c>
      <c r="J16">
        <f>ROUND(G16*H16*I16,0)</f>
        <v>52</v>
      </c>
      <c r="K16">
        <f>$B$8</f>
        <v>3</v>
      </c>
      <c r="L16">
        <f>ROUND(J16*K16,2)</f>
        <v>155.97</v>
      </c>
    </row>
    <row r="17">
      <c r="A17" t="inlineStr">
        <is>
          <t>2026-07-01</t>
        </is>
      </c>
      <c r="B17">
        <v>1</v>
      </c>
      <c r="C17" t="inlineStr">
        <is>
          <t>phase_1_user_growth</t>
        </is>
      </c>
      <c r="D17">
        <f>$B$5</f>
        <v>3</v>
      </c>
      <c r="E17">
        <f>$B$6</f>
        <v>5</v>
      </c>
      <c r="F17">
        <f>ROUND('MAU &amp; Operating Metrics'!$F23*D17,0)</f>
        <v>3879</v>
      </c>
      <c r="G17">
        <f>ROUND(F17*E17,0)</f>
        <v>19395</v>
      </c>
      <c r="H17">
        <f>$B$7</f>
        <v>0.003</v>
      </c>
      <c r="I17">
        <f>MAX(0.8,1+_xlfn.NORM.INV(RAND(),0,$B$9*0.3))</f>
        <v>0.995143</v>
      </c>
      <c r="J17">
        <f>ROUND(G17*H17*I17,0)</f>
        <v>58</v>
      </c>
      <c r="K17">
        <f>$B$8</f>
        <v>3</v>
      </c>
      <c r="L17">
        <f>ROUND(J17*K17,2)</f>
        <v>173.71</v>
      </c>
    </row>
    <row r="18">
      <c r="A18" t="inlineStr">
        <is>
          <t>2026-08-01</t>
        </is>
      </c>
      <c r="B18">
        <v>1</v>
      </c>
      <c r="C18" t="inlineStr">
        <is>
          <t>phase_1_user_growth</t>
        </is>
      </c>
      <c r="D18">
        <f>$B$5</f>
        <v>3</v>
      </c>
      <c r="E18">
        <f>$B$6</f>
        <v>5</v>
      </c>
      <c r="F18">
        <f>ROUND('MAU &amp; Operating Metrics'!$F24*D18,0)</f>
        <v>4509</v>
      </c>
      <c r="G18">
        <f>ROUND(F18*E18,0)</f>
        <v>22545</v>
      </c>
      <c r="H18">
        <f>$B$7</f>
        <v>0.003</v>
      </c>
      <c r="I18">
        <f>MAX(0.8,1+_xlfn.NORM.INV(RAND(),0,$B$9*0.3))</f>
        <v>0.997377</v>
      </c>
      <c r="J18">
        <f>ROUND(G18*H18*I18,0)</f>
        <v>67</v>
      </c>
      <c r="K18">
        <f>$B$8</f>
        <v>3</v>
      </c>
      <c r="L18">
        <f>ROUND(J18*K18,2)</f>
        <v>202.37</v>
      </c>
    </row>
    <row r="19">
      <c r="A19" t="inlineStr">
        <is>
          <t>2026-09-01</t>
        </is>
      </c>
      <c r="B19">
        <v>1</v>
      </c>
      <c r="C19" t="inlineStr">
        <is>
          <t>phase_1_user_growth</t>
        </is>
      </c>
      <c r="D19">
        <f>$B$5</f>
        <v>3</v>
      </c>
      <c r="E19">
        <f>$B$6</f>
        <v>5</v>
      </c>
      <c r="F19">
        <f>ROUND('MAU &amp; Operating Metrics'!$F25*D19,0)</f>
        <v>4779</v>
      </c>
      <c r="G19">
        <f>ROUND(F19*E19,0)</f>
        <v>23895</v>
      </c>
      <c r="H19">
        <f>$B$7</f>
        <v>0.003</v>
      </c>
      <c r="I19">
        <f>MAX(0.8,1+_xlfn.NORM.INV(RAND(),0,$B$9*0.3))</f>
        <v>1.019541</v>
      </c>
      <c r="J19">
        <f>ROUND(G19*H19*I19,0)</f>
        <v>73</v>
      </c>
      <c r="K19">
        <f>$B$8</f>
        <v>3</v>
      </c>
      <c r="L19">
        <f>ROUND(J19*K19,2)</f>
        <v>219.26</v>
      </c>
    </row>
    <row r="20">
      <c r="A20" t="inlineStr">
        <is>
          <t>2026-10-01</t>
        </is>
      </c>
      <c r="B20">
        <v>1</v>
      </c>
      <c r="C20" t="inlineStr">
        <is>
          <t>phase_1_user_growth</t>
        </is>
      </c>
      <c r="D20">
        <f>$B$5</f>
        <v>3</v>
      </c>
      <c r="E20">
        <f>$B$6</f>
        <v>5</v>
      </c>
      <c r="F20">
        <f>ROUND('MAU &amp; Operating Metrics'!$F26*D20,0)</f>
        <v>5472</v>
      </c>
      <c r="G20">
        <f>ROUND(F20*E20,0)</f>
        <v>27360</v>
      </c>
      <c r="H20">
        <f>$B$7</f>
        <v>0.003</v>
      </c>
      <c r="I20">
        <f>MAX(0.8,1+_xlfn.NORM.INV(RAND(),0,$B$9*0.3))</f>
        <v>1.014384</v>
      </c>
      <c r="J20">
        <f>ROUND(G20*H20*I20,0)</f>
        <v>83</v>
      </c>
      <c r="K20">
        <f>$B$8</f>
        <v>3</v>
      </c>
      <c r="L20">
        <f>ROUND(J20*K20,2)</f>
        <v>249.78</v>
      </c>
    </row>
    <row r="21">
      <c r="A21" t="inlineStr">
        <is>
          <t>2026-11-01</t>
        </is>
      </c>
      <c r="B21">
        <v>1</v>
      </c>
      <c r="C21" t="inlineStr">
        <is>
          <t>phase_1_user_growth</t>
        </is>
      </c>
      <c r="D21">
        <f>$B$5</f>
        <v>3</v>
      </c>
      <c r="E21">
        <f>$B$6</f>
        <v>5</v>
      </c>
      <c r="F21">
        <f>ROUND('MAU &amp; Operating Metrics'!$F27*D21,0)</f>
        <v>8073</v>
      </c>
      <c r="G21">
        <f>ROUND(F21*E21,0)</f>
        <v>40365</v>
      </c>
      <c r="H21">
        <f>$B$7</f>
        <v>0.003</v>
      </c>
      <c r="I21">
        <f>MAX(0.8,1+_xlfn.NORM.INV(RAND(),0,$B$9*0.3))</f>
        <v>1.005834</v>
      </c>
      <c r="J21">
        <f>ROUND(G21*H21*I21,0)</f>
        <v>122</v>
      </c>
      <c r="K21">
        <f>$B$8</f>
        <v>3</v>
      </c>
      <c r="L21">
        <f>ROUND(J21*K21,2)</f>
        <v>365.4</v>
      </c>
    </row>
    <row r="22">
      <c r="A22" t="inlineStr">
        <is>
          <t>2026-12-01</t>
        </is>
      </c>
      <c r="B22">
        <v>1</v>
      </c>
      <c r="C22" t="inlineStr">
        <is>
          <t>phase_1_user_growth</t>
        </is>
      </c>
      <c r="D22">
        <f>$B$5</f>
        <v>3</v>
      </c>
      <c r="E22">
        <f>$B$6</f>
        <v>5</v>
      </c>
      <c r="F22">
        <f>ROUND('MAU &amp; Operating Metrics'!$F28*D22,0)</f>
        <v>14994</v>
      </c>
      <c r="G22">
        <f>ROUND(F22*E22,0)</f>
        <v>74970</v>
      </c>
      <c r="H22">
        <f>$B$7</f>
        <v>0.003</v>
      </c>
      <c r="I22">
        <f>MAX(0.8,1+_xlfn.NORM.INV(RAND(),0,$B$9*0.3))</f>
        <v>0.989488</v>
      </c>
      <c r="J22">
        <f>ROUND(G22*H22*I22,0)</f>
        <v>223</v>
      </c>
      <c r="K22">
        <f>$B$8</f>
        <v>3</v>
      </c>
      <c r="L22">
        <f>ROUND(J22*K22,2)</f>
        <v>667.64</v>
      </c>
    </row>
    <row r="23">
      <c r="A23" t="inlineStr">
        <is>
          <t>2027-01-01</t>
        </is>
      </c>
      <c r="B23">
        <v>1</v>
      </c>
      <c r="C23" t="inlineStr">
        <is>
          <t>phase_1_user_growth</t>
        </is>
      </c>
      <c r="D23">
        <f>$B$5</f>
        <v>3</v>
      </c>
      <c r="E23">
        <f>$B$6</f>
        <v>5</v>
      </c>
      <c r="F23">
        <f>ROUND('MAU &amp; Operating Metrics'!$F29*D23,0)</f>
        <v>9180</v>
      </c>
      <c r="G23">
        <f>ROUND(F23*E23,0)</f>
        <v>45900</v>
      </c>
      <c r="H23">
        <f>$B$7</f>
        <v>0.003</v>
      </c>
      <c r="I23">
        <f>MAX(0.8,1+_xlfn.NORM.INV(RAND(),0,$B$9*0.3))</f>
        <v>1.008456</v>
      </c>
      <c r="J23">
        <f>ROUND(G23*H23*I23,0)</f>
        <v>139</v>
      </c>
      <c r="K23">
        <f>$B$8</f>
        <v>3</v>
      </c>
      <c r="L23">
        <f>ROUND(J23*K23,2)</f>
        <v>416.59</v>
      </c>
    </row>
    <row r="24">
      <c r="A24" t="inlineStr">
        <is>
          <t>2027-02-01</t>
        </is>
      </c>
      <c r="B24">
        <v>1</v>
      </c>
      <c r="C24" t="inlineStr">
        <is>
          <t>phase_1_user_growth</t>
        </is>
      </c>
      <c r="D24">
        <f>$B$5</f>
        <v>3</v>
      </c>
      <c r="E24">
        <f>$B$6</f>
        <v>5</v>
      </c>
      <c r="F24">
        <f>ROUND('MAU &amp; Operating Metrics'!$F30*D24,0)</f>
        <v>9762</v>
      </c>
      <c r="G24">
        <f>ROUND(F24*E24,0)</f>
        <v>48810</v>
      </c>
      <c r="H24">
        <f>$B$7</f>
        <v>0.003</v>
      </c>
      <c r="I24">
        <f>MAX(0.8,1+_xlfn.NORM.INV(RAND(),0,$B$9*0.3))</f>
        <v>0.981041</v>
      </c>
      <c r="J24">
        <f>ROUND(G24*H24*I24,0)</f>
        <v>144</v>
      </c>
      <c r="K24">
        <f>$B$8</f>
        <v>3</v>
      </c>
      <c r="L24">
        <f>ROUND(J24*K24,2)</f>
        <v>430.96</v>
      </c>
    </row>
    <row r="25">
      <c r="A25" t="inlineStr">
        <is>
          <t>2027-03-01</t>
        </is>
      </c>
      <c r="B25">
        <v>2</v>
      </c>
      <c r="C25" t="inlineStr">
        <is>
          <t>phase_2_marketplace_activation</t>
        </is>
      </c>
      <c r="D25">
        <f>$B$5</f>
        <v>3</v>
      </c>
      <c r="E25">
        <f>$B$6</f>
        <v>5</v>
      </c>
      <c r="F25">
        <f>ROUND('MAU &amp; Operating Metrics'!$F31*D25,0)</f>
        <v>9024</v>
      </c>
      <c r="G25">
        <f>ROUND(F25*E25,0)</f>
        <v>45120</v>
      </c>
      <c r="H25">
        <f>$B$7</f>
        <v>0.003</v>
      </c>
      <c r="I25">
        <f>MAX(0.8,1+_xlfn.NORM.INV(RAND(),0,$B$9*0.3))</f>
        <v>1.007309</v>
      </c>
      <c r="J25">
        <f>ROUND(G25*H25*I25,0)</f>
        <v>136</v>
      </c>
      <c r="K25">
        <f>$B$8</f>
        <v>3</v>
      </c>
      <c r="L25">
        <f>ROUND(J25*K25,2)</f>
        <v>409.05</v>
      </c>
    </row>
    <row r="26">
      <c r="A26" t="inlineStr">
        <is>
          <t>2027-04-01</t>
        </is>
      </c>
      <c r="B26">
        <v>2</v>
      </c>
      <c r="C26" t="inlineStr">
        <is>
          <t>phase_2_marketplace_activation</t>
        </is>
      </c>
      <c r="D26">
        <f>$B$5</f>
        <v>3</v>
      </c>
      <c r="E26">
        <f>$B$6</f>
        <v>5</v>
      </c>
      <c r="F26">
        <f>ROUND('MAU &amp; Operating Metrics'!$F32*D26,0)</f>
        <v>9432</v>
      </c>
      <c r="G26">
        <f>ROUND(F26*E26,0)</f>
        <v>47160</v>
      </c>
      <c r="H26">
        <f>$B$7</f>
        <v>0.003</v>
      </c>
      <c r="I26">
        <f>MAX(0.8,1+_xlfn.NORM.INV(RAND(),0,$B$9*0.3))</f>
        <v>1.008004</v>
      </c>
      <c r="J26">
        <f>ROUND(G26*H26*I26,0)</f>
        <v>143</v>
      </c>
      <c r="K26">
        <f>$B$8</f>
        <v>3</v>
      </c>
      <c r="L26">
        <f>ROUND(J26*K26,2)</f>
        <v>427.84</v>
      </c>
    </row>
    <row r="27">
      <c r="A27" t="inlineStr">
        <is>
          <t>2027-05-01</t>
        </is>
      </c>
      <c r="B27">
        <v>2</v>
      </c>
      <c r="C27" t="inlineStr">
        <is>
          <t>phase_2_marketplace_activation</t>
        </is>
      </c>
      <c r="D27">
        <f>$B$5</f>
        <v>3</v>
      </c>
      <c r="E27">
        <f>$B$6</f>
        <v>5</v>
      </c>
      <c r="F27">
        <f>ROUND('MAU &amp; Operating Metrics'!$F33*D27,0)</f>
        <v>11205</v>
      </c>
      <c r="G27">
        <f>ROUND(F27*E27,0)</f>
        <v>56025</v>
      </c>
      <c r="H27">
        <f>$B$7</f>
        <v>0.003</v>
      </c>
      <c r="I27">
        <f>MAX(0.8,1+_xlfn.NORM.INV(RAND(),0,$B$9*0.3))</f>
        <v>0.993259</v>
      </c>
      <c r="J27">
        <f>ROUND(G27*H27*I27,0)</f>
        <v>167</v>
      </c>
      <c r="K27">
        <f>$B$8</f>
        <v>3</v>
      </c>
      <c r="L27">
        <f>ROUND(J27*K27,2)</f>
        <v>500.83</v>
      </c>
    </row>
    <row r="28">
      <c r="A28" t="inlineStr">
        <is>
          <t>2027-06-01</t>
        </is>
      </c>
      <c r="B28">
        <v>2</v>
      </c>
      <c r="C28" t="inlineStr">
        <is>
          <t>phase_2_marketplace_activation</t>
        </is>
      </c>
      <c r="D28">
        <f>$B$5</f>
        <v>3</v>
      </c>
      <c r="E28">
        <f>$B$6</f>
        <v>5</v>
      </c>
      <c r="F28">
        <f>ROUND('MAU &amp; Operating Metrics'!$F34*D28,0)</f>
        <v>11388</v>
      </c>
      <c r="G28">
        <f>ROUND(F28*E28,0)</f>
        <v>56940</v>
      </c>
      <c r="H28">
        <f>$B$7</f>
        <v>0.003</v>
      </c>
      <c r="I28">
        <f>MAX(0.8,1+_xlfn.NORM.INV(RAND(),0,$B$9*0.3))</f>
        <v>1.003199</v>
      </c>
      <c r="J28">
        <f>ROUND(G28*H28*I28,0)</f>
        <v>171</v>
      </c>
      <c r="K28">
        <f>$B$8</f>
        <v>3</v>
      </c>
      <c r="L28">
        <f>ROUND(J28*K28,2)</f>
        <v>514.1</v>
      </c>
    </row>
    <row r="29">
      <c r="A29" t="inlineStr">
        <is>
          <t>2027-07-01</t>
        </is>
      </c>
      <c r="B29">
        <v>2</v>
      </c>
      <c r="C29" t="inlineStr">
        <is>
          <t>phase_2_marketplace_activation</t>
        </is>
      </c>
      <c r="D29">
        <f>$B$5</f>
        <v>3</v>
      </c>
      <c r="E29">
        <f>$B$6</f>
        <v>5</v>
      </c>
      <c r="F29">
        <f>ROUND('MAU &amp; Operating Metrics'!$F35*D29,0)</f>
        <v>12138</v>
      </c>
      <c r="G29">
        <f>ROUND(F29*E29,0)</f>
        <v>60690</v>
      </c>
      <c r="H29">
        <f>$B$7</f>
        <v>0.003</v>
      </c>
      <c r="I29">
        <f>MAX(0.8,1+_xlfn.NORM.INV(RAND(),0,$B$9*0.3))</f>
        <v>1.014005</v>
      </c>
      <c r="J29">
        <f>ROUND(G29*H29*I29,0)</f>
        <v>185</v>
      </c>
      <c r="K29">
        <f>$B$8</f>
        <v>3</v>
      </c>
      <c r="L29">
        <f>ROUND(J29*K29,2)</f>
        <v>553.86</v>
      </c>
    </row>
    <row r="30">
      <c r="A30" t="inlineStr">
        <is>
          <t>2027-08-01</t>
        </is>
      </c>
      <c r="B30">
        <v>2</v>
      </c>
      <c r="C30" t="inlineStr">
        <is>
          <t>phase_2_marketplace_activation</t>
        </is>
      </c>
      <c r="D30">
        <f>$B$5</f>
        <v>3</v>
      </c>
      <c r="E30">
        <f>$B$6</f>
        <v>5</v>
      </c>
      <c r="F30">
        <f>ROUND('MAU &amp; Operating Metrics'!$F36*D30,0)</f>
        <v>12588</v>
      </c>
      <c r="G30">
        <f>ROUND(F30*E30,0)</f>
        <v>62940</v>
      </c>
      <c r="H30">
        <f>$B$7</f>
        <v>0.003</v>
      </c>
      <c r="I30">
        <f>MAX(0.8,1+_xlfn.NORM.INV(RAND(),0,$B$9*0.3))</f>
        <v>1.000883</v>
      </c>
      <c r="J30">
        <f>ROUND(G30*H30*I30,0)</f>
        <v>189</v>
      </c>
      <c r="K30">
        <f>$B$8</f>
        <v>3</v>
      </c>
      <c r="L30">
        <f>ROUND(J30*K30,2)</f>
        <v>566.96</v>
      </c>
    </row>
    <row r="31">
      <c r="A31" t="inlineStr">
        <is>
          <t>2027-09-01</t>
        </is>
      </c>
      <c r="B31">
        <v>2</v>
      </c>
      <c r="C31" t="inlineStr">
        <is>
          <t>phase_2_marketplace_activation</t>
        </is>
      </c>
      <c r="D31">
        <f>$B$5</f>
        <v>3</v>
      </c>
      <c r="E31">
        <f>$B$6</f>
        <v>5</v>
      </c>
      <c r="F31">
        <f>ROUND('MAU &amp; Operating Metrics'!$F37*D31,0)</f>
        <v>13203</v>
      </c>
      <c r="G31">
        <f>ROUND(F31*E31,0)</f>
        <v>66015</v>
      </c>
      <c r="H31">
        <f>$B$7</f>
        <v>0.003</v>
      </c>
      <c r="I31">
        <f>MAX(0.8,1+_xlfn.NORM.INV(RAND(),0,$B$9*0.3))</f>
        <v>1.008754</v>
      </c>
      <c r="J31">
        <f>ROUND(G31*H31*I31,0)</f>
        <v>200</v>
      </c>
      <c r="K31">
        <f>$B$8</f>
        <v>3</v>
      </c>
      <c r="L31">
        <f>ROUND(J31*K31,2)</f>
        <v>599.34</v>
      </c>
    </row>
    <row r="32">
      <c r="A32" t="inlineStr">
        <is>
          <t>2027-10-01</t>
        </is>
      </c>
      <c r="B32">
        <v>2</v>
      </c>
      <c r="C32" t="inlineStr">
        <is>
          <t>phase_2_marketplace_activation</t>
        </is>
      </c>
      <c r="D32">
        <f>$B$5</f>
        <v>3</v>
      </c>
      <c r="E32">
        <f>$B$6</f>
        <v>5</v>
      </c>
      <c r="F32">
        <f>ROUND('MAU &amp; Operating Metrics'!$F38*D32,0)</f>
        <v>14334</v>
      </c>
      <c r="G32">
        <f>ROUND(F32*E32,0)</f>
        <v>71670</v>
      </c>
      <c r="H32">
        <f>$B$7</f>
        <v>0.003</v>
      </c>
      <c r="I32">
        <f>MAX(0.8,1+_xlfn.NORM.INV(RAND(),0,$B$9*0.3))</f>
        <v>0.994516</v>
      </c>
      <c r="J32">
        <f>ROUND(G32*H32*I32,0)</f>
        <v>214</v>
      </c>
      <c r="K32">
        <f>$B$8</f>
        <v>3</v>
      </c>
      <c r="L32">
        <f>ROUND(J32*K32,2)</f>
        <v>641.49</v>
      </c>
    </row>
    <row r="33">
      <c r="A33" t="inlineStr">
        <is>
          <t>2027-11-01</t>
        </is>
      </c>
      <c r="B33">
        <v>2</v>
      </c>
      <c r="C33" t="inlineStr">
        <is>
          <t>phase_2_marketplace_activation</t>
        </is>
      </c>
      <c r="D33">
        <f>$B$5</f>
        <v>3</v>
      </c>
      <c r="E33">
        <f>$B$6</f>
        <v>5</v>
      </c>
      <c r="F33">
        <f>ROUND('MAU &amp; Operating Metrics'!$F39*D33,0)</f>
        <v>19005</v>
      </c>
      <c r="G33">
        <f>ROUND(F33*E33,0)</f>
        <v>95025</v>
      </c>
      <c r="H33">
        <f>$B$7</f>
        <v>0.003</v>
      </c>
      <c r="I33">
        <f>MAX(0.8,1+_xlfn.NORM.INV(RAND(),0,$B$9*0.3))</f>
        <v>0.972892</v>
      </c>
      <c r="J33">
        <f>ROUND(G33*H33*I33,0)</f>
        <v>277</v>
      </c>
      <c r="K33">
        <f>$B$8</f>
        <v>3</v>
      </c>
      <c r="L33">
        <f>ROUND(J33*K33,2)</f>
        <v>832.04</v>
      </c>
    </row>
    <row r="34">
      <c r="A34" t="inlineStr">
        <is>
          <t>2027-12-01</t>
        </is>
      </c>
      <c r="B34">
        <v>2</v>
      </c>
      <c r="C34" t="inlineStr">
        <is>
          <t>phase_2_marketplace_activation</t>
        </is>
      </c>
      <c r="D34">
        <f>$B$5</f>
        <v>3</v>
      </c>
      <c r="E34">
        <f>$B$6</f>
        <v>5</v>
      </c>
      <c r="F34">
        <f>ROUND('MAU &amp; Operating Metrics'!$F40*D34,0)</f>
        <v>32703</v>
      </c>
      <c r="G34">
        <f>ROUND(F34*E34,0)</f>
        <v>163515</v>
      </c>
      <c r="H34">
        <f>$B$7</f>
        <v>0.003</v>
      </c>
      <c r="I34">
        <f>MAX(0.8,1+_xlfn.NORM.INV(RAND(),0,$B$9*0.3))</f>
        <v>1.006925</v>
      </c>
      <c r="J34">
        <f>ROUND(G34*H34*I34,0)</f>
        <v>494</v>
      </c>
      <c r="K34">
        <f>$B$8</f>
        <v>3</v>
      </c>
      <c r="L34">
        <f>ROUND(J34*K34,2)</f>
        <v>1481.83</v>
      </c>
    </row>
    <row r="35">
      <c r="A35" t="inlineStr">
        <is>
          <t>2028-01-01</t>
        </is>
      </c>
      <c r="B35">
        <v>2</v>
      </c>
      <c r="C35" t="inlineStr">
        <is>
          <t>phase_2_marketplace_activation</t>
        </is>
      </c>
      <c r="D35">
        <f>$B$5</f>
        <v>3</v>
      </c>
      <c r="E35">
        <f>$B$6</f>
        <v>5</v>
      </c>
      <c r="F35">
        <f>ROUND('MAU &amp; Operating Metrics'!$F41*D35,0)</f>
        <v>20031</v>
      </c>
      <c r="G35">
        <f>ROUND(F35*E35,0)</f>
        <v>100155</v>
      </c>
      <c r="H35">
        <f>$B$7</f>
        <v>0.003</v>
      </c>
      <c r="I35">
        <f>MAX(0.8,1+_xlfn.NORM.INV(RAND(),0,$B$9*0.3))</f>
        <v>0.971667</v>
      </c>
      <c r="J35">
        <f>ROUND(G35*H35*I35,0)</f>
        <v>292</v>
      </c>
      <c r="K35">
        <f>$B$8</f>
        <v>3</v>
      </c>
      <c r="L35">
        <f>ROUND(J35*K35,2)</f>
        <v>875.86</v>
      </c>
    </row>
    <row r="36">
      <c r="A36" t="inlineStr">
        <is>
          <t>2028-02-01</t>
        </is>
      </c>
      <c r="B36">
        <v>2</v>
      </c>
      <c r="C36" t="inlineStr">
        <is>
          <t>phase_2_marketplace_activation</t>
        </is>
      </c>
      <c r="D36">
        <f>$B$5</f>
        <v>3</v>
      </c>
      <c r="E36">
        <f>$B$6</f>
        <v>5</v>
      </c>
      <c r="F36">
        <f>ROUND('MAU &amp; Operating Metrics'!$F42*D36,0)</f>
        <v>20319</v>
      </c>
      <c r="G36">
        <f>ROUND(F36*E36,0)</f>
        <v>101595</v>
      </c>
      <c r="H36">
        <f>$B$7</f>
        <v>0.003</v>
      </c>
      <c r="I36">
        <f>MAX(0.8,1+_xlfn.NORM.INV(RAND(),0,$B$9*0.3))</f>
        <v>1.022527</v>
      </c>
      <c r="J36">
        <f>ROUND(G36*H36*I36,0)</f>
        <v>312</v>
      </c>
      <c r="K36">
        <f>$B$8</f>
        <v>3</v>
      </c>
      <c r="L36">
        <f>ROUND(J36*K36,2)</f>
        <v>934.95</v>
      </c>
    </row>
    <row r="37">
      <c r="A37" t="inlineStr">
        <is>
          <t>2028-03-01</t>
        </is>
      </c>
      <c r="B37">
        <v>3</v>
      </c>
      <c r="C37" t="inlineStr">
        <is>
          <t>phase_3_projection</t>
        </is>
      </c>
      <c r="D37">
        <f>$B$5</f>
        <v>3</v>
      </c>
      <c r="E37">
        <f>$B$6</f>
        <v>5</v>
      </c>
      <c r="F37">
        <f>ROUND('MAU &amp; Operating Metrics'!$F43*D37,0)</f>
        <v>18954</v>
      </c>
      <c r="G37">
        <f>ROUND(F37*E37,0)</f>
        <v>94770</v>
      </c>
      <c r="H37">
        <f>$B$7</f>
        <v>0.003</v>
      </c>
      <c r="I37">
        <f>MAX(0.8,1+_xlfn.NORM.INV(RAND(),0,$B$9*0.3))</f>
        <v>0.990509</v>
      </c>
      <c r="J37">
        <f>ROUND(G37*H37*I37,0)</f>
        <v>282</v>
      </c>
      <c r="K37">
        <f>$B$8</f>
        <v>3</v>
      </c>
      <c r="L37">
        <f>ROUND(J37*K37,2)</f>
        <v>844.83</v>
      </c>
    </row>
    <row r="38">
      <c r="A38" t="inlineStr">
        <is>
          <t>2028-04-01</t>
        </is>
      </c>
      <c r="B38">
        <v>3</v>
      </c>
      <c r="C38" t="inlineStr">
        <is>
          <t>phase_3_projection</t>
        </is>
      </c>
      <c r="D38">
        <f>$B$5</f>
        <v>3</v>
      </c>
      <c r="E38">
        <f>$B$6</f>
        <v>5</v>
      </c>
      <c r="F38">
        <f>ROUND('MAU &amp; Operating Metrics'!$F44*D38,0)</f>
        <v>19548</v>
      </c>
      <c r="G38">
        <f>ROUND(F38*E38,0)</f>
        <v>97740</v>
      </c>
      <c r="H38">
        <f>$B$7</f>
        <v>0.003</v>
      </c>
      <c r="I38">
        <f>MAX(0.8,1+_xlfn.NORM.INV(RAND(),0,$B$9*0.3))</f>
        <v>0.984881</v>
      </c>
      <c r="J38">
        <f>ROUND(G38*H38*I38,0)</f>
        <v>289</v>
      </c>
      <c r="K38">
        <f>$B$8</f>
        <v>3</v>
      </c>
      <c r="L38">
        <f>ROUND(J38*K38,2)</f>
        <v>866.36</v>
      </c>
    </row>
    <row r="39">
      <c r="A39" t="inlineStr">
        <is>
          <t>2028-05-01</t>
        </is>
      </c>
      <c r="B39">
        <v>3</v>
      </c>
      <c r="C39" t="inlineStr">
        <is>
          <t>phase_3_projection</t>
        </is>
      </c>
      <c r="D39">
        <f>$B$5</f>
        <v>3</v>
      </c>
      <c r="E39">
        <f>$B$6</f>
        <v>5</v>
      </c>
      <c r="F39">
        <f>ROUND('MAU &amp; Operating Metrics'!$F45*D39,0)</f>
        <v>22065</v>
      </c>
      <c r="G39">
        <f>ROUND(F39*E39,0)</f>
        <v>110325</v>
      </c>
      <c r="H39">
        <f>$B$7</f>
        <v>0.003</v>
      </c>
      <c r="I39">
        <f>MAX(0.8,1+_xlfn.NORM.INV(RAND(),0,$B$9*0.3))</f>
        <v>1.017772</v>
      </c>
      <c r="J39">
        <f>ROUND(G39*H39*I39,0)</f>
        <v>337</v>
      </c>
      <c r="K39">
        <f>$B$8</f>
        <v>3</v>
      </c>
      <c r="L39">
        <f>ROUND(J39*K39,2)</f>
        <v>1010.57</v>
      </c>
    </row>
    <row r="40">
      <c r="A40" t="inlineStr">
        <is>
          <t>2028-06-01</t>
        </is>
      </c>
      <c r="B40">
        <v>3</v>
      </c>
      <c r="C40" t="inlineStr">
        <is>
          <t>phase_3_projection</t>
        </is>
      </c>
      <c r="D40">
        <f>$B$5</f>
        <v>3</v>
      </c>
      <c r="E40">
        <f>$B$6</f>
        <v>5</v>
      </c>
      <c r="F40">
        <f>ROUND('MAU &amp; Operating Metrics'!$F46*D40,0)</f>
        <v>21633</v>
      </c>
      <c r="G40">
        <f>ROUND(F40*E40,0)</f>
        <v>108165</v>
      </c>
      <c r="H40">
        <f>$B$7</f>
        <v>0.003</v>
      </c>
      <c r="I40">
        <f>MAX(0.8,1+_xlfn.NORM.INV(RAND(),0,$B$9*0.3))</f>
        <v>1.000164</v>
      </c>
      <c r="J40">
        <f>ROUND(G40*H40*I40,0)</f>
        <v>325</v>
      </c>
      <c r="K40">
        <f>$B$8</f>
        <v>3</v>
      </c>
      <c r="L40">
        <f>ROUND(J40*K40,2)</f>
        <v>973.64</v>
      </c>
    </row>
    <row r="41">
      <c r="A41" t="inlineStr">
        <is>
          <t>2028-07-01</t>
        </is>
      </c>
      <c r="B41">
        <v>3</v>
      </c>
      <c r="C41" t="inlineStr">
        <is>
          <t>phase_3_projection</t>
        </is>
      </c>
      <c r="D41">
        <f>$B$5</f>
        <v>3</v>
      </c>
      <c r="E41">
        <f>$B$6</f>
        <v>5</v>
      </c>
      <c r="F41">
        <f>ROUND('MAU &amp; Operating Metrics'!$F47*D41,0)</f>
        <v>22266</v>
      </c>
      <c r="G41">
        <f>ROUND(F41*E41,0)</f>
        <v>111330</v>
      </c>
      <c r="H41">
        <f>$B$7</f>
        <v>0.003</v>
      </c>
      <c r="I41">
        <f>MAX(0.8,1+_xlfn.NORM.INV(RAND(),0,$B$9*0.3))</f>
        <v>1.007452</v>
      </c>
      <c r="J41">
        <f>ROUND(G41*H41*I41,0)</f>
        <v>336</v>
      </c>
      <c r="K41">
        <f>$B$8</f>
        <v>3</v>
      </c>
      <c r="L41">
        <f>ROUND(J41*K41,2)</f>
        <v>1009.44</v>
      </c>
    </row>
    <row r="42">
      <c r="A42" t="inlineStr">
        <is>
          <t>2028-08-01</t>
        </is>
      </c>
      <c r="B42">
        <v>3</v>
      </c>
      <c r="C42" t="inlineStr">
        <is>
          <t>phase_3_projection</t>
        </is>
      </c>
      <c r="D42">
        <f>$B$5</f>
        <v>3</v>
      </c>
      <c r="E42">
        <f>$B$6</f>
        <v>5</v>
      </c>
      <c r="F42">
        <f>ROUND('MAU &amp; Operating Metrics'!$F48*D42,0)</f>
        <v>22962</v>
      </c>
      <c r="G42">
        <f>ROUND(F42*E42,0)</f>
        <v>114810</v>
      </c>
      <c r="H42">
        <f>$B$7</f>
        <v>0.003</v>
      </c>
      <c r="I42">
        <f>MAX(0.8,1+_xlfn.NORM.INV(RAND(),0,$B$9*0.3))</f>
        <v>0.991572</v>
      </c>
      <c r="J42">
        <f>ROUND(G42*H42*I42,0)</f>
        <v>342</v>
      </c>
      <c r="K42">
        <f>$B$8</f>
        <v>3</v>
      </c>
      <c r="L42">
        <f>ROUND(J42*K42,2)</f>
        <v>1024.58</v>
      </c>
    </row>
    <row r="43">
      <c r="A43" t="inlineStr">
        <is>
          <t>2028-09-01</t>
        </is>
      </c>
      <c r="B43">
        <v>3</v>
      </c>
      <c r="C43" t="inlineStr">
        <is>
          <t>phase_3_projection</t>
        </is>
      </c>
      <c r="D43">
        <f>$B$5</f>
        <v>3</v>
      </c>
      <c r="E43">
        <f>$B$6</f>
        <v>5</v>
      </c>
      <c r="F43">
        <f>ROUND('MAU &amp; Operating Metrics'!$F49*D43,0)</f>
        <v>23115</v>
      </c>
      <c r="G43">
        <f>ROUND(F43*E43,0)</f>
        <v>115575</v>
      </c>
      <c r="H43">
        <f>$B$7</f>
        <v>0.003</v>
      </c>
      <c r="I43">
        <f>MAX(0.8,1+_xlfn.NORM.INV(RAND(),0,$B$9*0.3))</f>
        <v>0.967254</v>
      </c>
      <c r="J43">
        <f>ROUND(G43*H43*I43,0)</f>
        <v>335</v>
      </c>
      <c r="K43">
        <f>$B$8</f>
        <v>3</v>
      </c>
      <c r="L43">
        <f>ROUND(J43*K43,2)</f>
        <v>1006.11</v>
      </c>
    </row>
    <row r="44">
      <c r="A44" t="inlineStr">
        <is>
          <t>2028-10-01</t>
        </is>
      </c>
      <c r="B44">
        <v>3</v>
      </c>
      <c r="C44" t="inlineStr">
        <is>
          <t>phase_3_projection</t>
        </is>
      </c>
      <c r="D44">
        <f>$B$5</f>
        <v>3</v>
      </c>
      <c r="E44">
        <f>$B$6</f>
        <v>5</v>
      </c>
      <c r="F44">
        <f>ROUND('MAU &amp; Operating Metrics'!$F50*D44,0)</f>
        <v>24570</v>
      </c>
      <c r="G44">
        <f>ROUND(F44*E44,0)</f>
        <v>122850</v>
      </c>
      <c r="H44">
        <f>$B$7</f>
        <v>0.003</v>
      </c>
      <c r="I44">
        <f>MAX(0.8,1+_xlfn.NORM.INV(RAND(),0,$B$9*0.3))</f>
        <v>1.009741</v>
      </c>
      <c r="J44">
        <f>ROUND(G44*H44*I44,0)</f>
        <v>372</v>
      </c>
      <c r="K44">
        <f>$B$8</f>
        <v>3</v>
      </c>
      <c r="L44">
        <f>ROUND(J44*K44,2)</f>
        <v>1116.42</v>
      </c>
    </row>
    <row r="45">
      <c r="A45" t="inlineStr">
        <is>
          <t>2028-11-01</t>
        </is>
      </c>
      <c r="B45">
        <v>3</v>
      </c>
      <c r="C45" t="inlineStr">
        <is>
          <t>phase_3_projection</t>
        </is>
      </c>
      <c r="D45">
        <f>$B$5</f>
        <v>3</v>
      </c>
      <c r="E45">
        <f>$B$6</f>
        <v>5</v>
      </c>
      <c r="F45">
        <f>ROUND('MAU &amp; Operating Metrics'!$F51*D45,0)</f>
        <v>31725</v>
      </c>
      <c r="G45">
        <f>ROUND(F45*E45,0)</f>
        <v>158625</v>
      </c>
      <c r="H45">
        <f>$B$7</f>
        <v>0.003</v>
      </c>
      <c r="I45">
        <f>MAX(0.8,1+_xlfn.NORM.INV(RAND(),0,$B$9*0.3))</f>
        <v>1.004076</v>
      </c>
      <c r="J45">
        <f>ROUND(G45*H45*I45,0)</f>
        <v>478</v>
      </c>
      <c r="K45">
        <f>$B$8</f>
        <v>3</v>
      </c>
      <c r="L45">
        <f>ROUND(J45*K45,2)</f>
        <v>1433.44</v>
      </c>
    </row>
    <row r="46">
      <c r="A46" t="inlineStr">
        <is>
          <t>2028-12-01</t>
        </is>
      </c>
      <c r="B46">
        <v>3</v>
      </c>
      <c r="C46" t="inlineStr">
        <is>
          <t>phase_3_projection</t>
        </is>
      </c>
      <c r="D46">
        <f>$B$5</f>
        <v>3</v>
      </c>
      <c r="E46">
        <f>$B$6</f>
        <v>5</v>
      </c>
      <c r="F46">
        <f>ROUND('MAU &amp; Operating Metrics'!$F52*D46,0)</f>
        <v>50505</v>
      </c>
      <c r="G46">
        <f>ROUND(F46*E46,0)</f>
        <v>252525</v>
      </c>
      <c r="H46">
        <f>$B$7</f>
        <v>0.003</v>
      </c>
      <c r="I46">
        <f>MAX(0.8,1+_xlfn.NORM.INV(RAND(),0,$B$9*0.3))</f>
        <v>0.992555</v>
      </c>
      <c r="J46">
        <f>ROUND(G46*H46*I46,0)</f>
        <v>752</v>
      </c>
      <c r="K46">
        <f>$B$8</f>
        <v>3</v>
      </c>
      <c r="L46">
        <f>ROUND(J46*K46,2)</f>
        <v>2255.8</v>
      </c>
    </row>
    <row r="47">
      <c r="A47" t="inlineStr">
        <is>
          <t>2029-01-01</t>
        </is>
      </c>
      <c r="B47">
        <v>3</v>
      </c>
      <c r="C47" t="inlineStr">
        <is>
          <t>phase_3_projection</t>
        </is>
      </c>
      <c r="D47">
        <f>$B$5</f>
        <v>3</v>
      </c>
      <c r="E47">
        <f>$B$6</f>
        <v>5</v>
      </c>
      <c r="F47">
        <f>ROUND('MAU &amp; Operating Metrics'!$F53*D47,0)</f>
        <v>32091</v>
      </c>
      <c r="G47">
        <f>ROUND(F47*E47,0)</f>
        <v>160455</v>
      </c>
      <c r="H47">
        <f>$B$7</f>
        <v>0.003</v>
      </c>
      <c r="I47">
        <f>MAX(0.8,1+_xlfn.NORM.INV(RAND(),0,$B$9*0.3))</f>
        <v>0.989519</v>
      </c>
      <c r="J47">
        <f>ROUND(G47*H47*I47,0)</f>
        <v>476</v>
      </c>
      <c r="K47">
        <f>$B$8</f>
        <v>3</v>
      </c>
      <c r="L47">
        <f>ROUND(J47*K47,2)</f>
        <v>1428.96</v>
      </c>
    </row>
    <row r="48">
      <c r="A48" t="inlineStr">
        <is>
          <t>2029-02-01</t>
        </is>
      </c>
      <c r="B48">
        <v>3</v>
      </c>
      <c r="C48" t="inlineStr">
        <is>
          <t>phase_3_projection</t>
        </is>
      </c>
      <c r="D48">
        <f>$B$5</f>
        <v>3</v>
      </c>
      <c r="E48">
        <f>$B$6</f>
        <v>5</v>
      </c>
      <c r="F48">
        <f>ROUND('MAU &amp; Operating Metrics'!$F54*D48,0)</f>
        <v>32364</v>
      </c>
      <c r="G48">
        <f>ROUND(F48*E48,0)</f>
        <v>161820</v>
      </c>
      <c r="H48">
        <f>$B$7</f>
        <v>0.003</v>
      </c>
      <c r="I48">
        <f>MAX(0.8,1+_xlfn.NORM.INV(RAND(),0,$B$9*0.3))</f>
        <v>0.976729</v>
      </c>
      <c r="J48">
        <f>ROUND(G48*H48*I48,0)</f>
        <v>474</v>
      </c>
      <c r="K48">
        <f>$B$8</f>
        <v>3</v>
      </c>
      <c r="L48">
        <f>ROUND(J48*K48,2)</f>
        <v>1422.49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170"/>
  <sheetViews>
    <sheetView workbookViewId="0"/>
  </sheetViews>
  <sheetFormatPr defaultRowHeight="15"/>
  <sheetData>
    <row r="1">
      <c r="A1" t="inlineStr">
        <is>
          <t>[OpEx Assumptions]</t>
        </is>
      </c>
      <c r="B1" t="inlineStr">
        <is>
          <t/>
        </is>
      </c>
      <c r="C1" t="inlineStr">
        <is>
          <t>Inputs used by the top-line expense model below.</t>
        </is>
      </c>
    </row>
    <row r="2">
      <c r="A2" t="inlineStr">
        <is>
          <t>name</t>
        </is>
      </c>
      <c r="B2" t="inlineStr">
        <is>
          <t>value</t>
        </is>
      </c>
      <c r="C2" t="inlineStr">
        <is>
          <t>details</t>
        </is>
      </c>
    </row>
    <row r="3">
      <c r="A3" t="inlineStr">
        <is>
          <t>projection_months</t>
        </is>
      </c>
      <c r="B3">
        <v>36</v>
      </c>
      <c r="C3" t="inlineStr">
        <is>
          <t>Number of projected monthly rows in the workbook model.</t>
        </is>
      </c>
    </row>
    <row r="4">
      <c r="A4" t="inlineStr">
        <is>
          <t>projection_start_month</t>
        </is>
      </c>
      <c r="B4" t="inlineStr">
        <is>
          <t>2026-03</t>
        </is>
      </c>
      <c r="C4" t="inlineStr">
        <is>
          <t>First month of the synthetic projection in YYYY-MM format.</t>
        </is>
      </c>
    </row>
    <row r="5">
      <c r="A5" t="inlineStr">
        <is>
          <t>dependency</t>
        </is>
      </c>
      <c r="B5" t="inlineStr">
        <is>
          <t>MAU &amp; Operating Metrics.mau / MAU &amp; Operating Metrics.new_users / Advertising.pageviews</t>
        </is>
      </c>
      <c r="C5" t="inlineStr">
        <is>
          <t>The finance-facing expense table uses audience and traffic plus the cloud-cost helper section below.</t>
        </is>
      </c>
    </row>
    <row r="6">
      <c r="A6" t="inlineStr">
        <is>
          <t>instagram_marketing_monthly_year1</t>
        </is>
      </c>
      <c r="B6">
        <v>1500</v>
      </c>
      <c r="C6" t="inlineStr">
        <is>
          <t>Monthly Instagram paid-marketing budget in Year 1.</t>
        </is>
      </c>
    </row>
    <row r="7">
      <c r="A7" t="inlineStr">
        <is>
          <t>instagram_marketing_monthly_year2</t>
        </is>
      </c>
      <c r="B7">
        <v>2500</v>
      </c>
      <c r="C7" t="inlineStr">
        <is>
          <t>Monthly Instagram paid-marketing budget in Year 2.</t>
        </is>
      </c>
    </row>
    <row r="8">
      <c r="A8" t="inlineStr">
        <is>
          <t>instagram_marketing_monthly_year3</t>
        </is>
      </c>
      <c r="B8">
        <v>3500</v>
      </c>
      <c r="C8" t="inlineStr">
        <is>
          <t>Monthly Instagram paid-marketing budget in Year 3.</t>
        </is>
      </c>
    </row>
    <row r="9">
      <c r="A9" t="inlineStr">
        <is>
          <t>twitter_marketing_monthly_year1</t>
        </is>
      </c>
      <c r="B9">
        <v>500</v>
      </c>
      <c r="C9" t="inlineStr">
        <is>
          <t>Monthly Twitter/X paid-marketing budget in Year 1.</t>
        </is>
      </c>
    </row>
    <row r="10">
      <c r="A10" t="inlineStr">
        <is>
          <t>twitter_marketing_monthly_year2</t>
        </is>
      </c>
      <c r="B10">
        <v>750</v>
      </c>
      <c r="C10" t="inlineStr">
        <is>
          <t>Monthly Twitter/X paid-marketing budget in Year 2.</t>
        </is>
      </c>
    </row>
    <row r="11">
      <c r="A11" t="inlineStr">
        <is>
          <t>twitter_marketing_monthly_year3</t>
        </is>
      </c>
      <c r="B11">
        <v>1000</v>
      </c>
      <c r="C11" t="inlineStr">
        <is>
          <t>Monthly Twitter/X paid-marketing budget in Year 3.</t>
        </is>
      </c>
    </row>
    <row r="12">
      <c r="A12" t="inlineStr">
        <is>
          <t>facebook_marketing_monthly_year1</t>
        </is>
      </c>
      <c r="B12">
        <v>1000</v>
      </c>
      <c r="C12" t="inlineStr">
        <is>
          <t>Monthly Facebook paid-marketing budget in Year 1.</t>
        </is>
      </c>
    </row>
    <row r="13">
      <c r="A13" t="inlineStr">
        <is>
          <t>facebook_marketing_monthly_year2</t>
        </is>
      </c>
      <c r="B13">
        <v>1500</v>
      </c>
      <c r="C13" t="inlineStr">
        <is>
          <t>Monthly Facebook paid-marketing budget in Year 2.</t>
        </is>
      </c>
    </row>
    <row r="14">
      <c r="A14" t="inlineStr">
        <is>
          <t>facebook_marketing_monthly_year3</t>
        </is>
      </c>
      <c r="B14">
        <v>2000</v>
      </c>
      <c r="C14" t="inlineStr">
        <is>
          <t>Monthly Facebook paid-marketing budget in Year 3.</t>
        </is>
      </c>
    </row>
    <row r="15">
      <c r="A15" t="inlineStr">
        <is>
          <t>content_creation_monthly_year1</t>
        </is>
      </c>
      <c r="B15">
        <v>800</v>
      </c>
      <c r="C15" t="inlineStr">
        <is>
          <t>Monthly content-creation and graphics budget in Year 1.</t>
        </is>
      </c>
    </row>
    <row r="16">
      <c r="A16" t="inlineStr">
        <is>
          <t>content_creation_monthly_year2</t>
        </is>
      </c>
      <c r="B16">
        <v>1200</v>
      </c>
      <c r="C16" t="inlineStr">
        <is>
          <t>Monthly content-creation and graphics budget in Year 2.</t>
        </is>
      </c>
    </row>
    <row r="17">
      <c r="A17" t="inlineStr">
        <is>
          <t>content_creation_monthly_year3</t>
        </is>
      </c>
      <c r="B17">
        <v>1500</v>
      </c>
      <c r="C17" t="inlineStr">
        <is>
          <t>Monthly content-creation and graphics budget in Year 3.</t>
        </is>
      </c>
    </row>
    <row r="18">
      <c r="A18" t="inlineStr">
        <is>
          <t>team_size_year1</t>
        </is>
      </c>
      <c r="B18">
        <v>2</v>
      </c>
      <c r="C18" t="inlineStr">
        <is>
          <t>Team size in Year 1, used only to size software tools.</t>
        </is>
      </c>
    </row>
    <row r="19">
      <c r="A19" t="inlineStr">
        <is>
          <t>team_size_year2</t>
        </is>
      </c>
      <c r="B19">
        <v>2</v>
      </c>
      <c r="C19" t="inlineStr">
        <is>
          <t>Team size in Year 2, used only to size software tools.</t>
        </is>
      </c>
    </row>
    <row r="20">
      <c r="A20" t="inlineStr">
        <is>
          <t>team_size_year3</t>
        </is>
      </c>
      <c r="B20">
        <v>3</v>
      </c>
      <c r="C20" t="inlineStr">
        <is>
          <t>Team size in Year 3, used only to size software tools.</t>
        </is>
      </c>
    </row>
    <row r="21">
      <c r="A21" t="inlineStr">
        <is>
          <t>software_tools_per_team_member_monthly_usd</t>
        </is>
      </c>
      <c r="B21">
        <v>15.75</v>
      </c>
      <c r="C21" t="inlineStr">
        <is>
          <t>Combined Google Workspace and Slack cost per team member per month in USD.</t>
        </is>
      </c>
    </row>
    <row r="22">
      <c r="A22" t="inlineStr">
        <is>
          <t>incorporation_setup_usd</t>
        </is>
      </c>
      <c r="B22">
        <v>500</v>
      </c>
      <c r="C22" t="inlineStr">
        <is>
          <t>One-time incorporation and setup cost in USD, applied in the first projected month.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/>
        </is>
      </c>
    </row>
    <row r="24">
      <c r="A24" t="inlineStr">
        <is>
          <t>month</t>
        </is>
      </c>
      <c r="B24" t="inlineStr">
        <is>
          <t>year_index</t>
        </is>
      </c>
      <c r="C24" t="inlineStr">
        <is>
          <t>phase</t>
        </is>
      </c>
      <c r="D24" t="inlineStr">
        <is>
          <t>technology_and_infrastructure_opex_usd</t>
        </is>
      </c>
      <c r="E24" t="inlineStr">
        <is>
          <t>sales_and_marketing_opex_usd</t>
        </is>
      </c>
      <c r="F24" t="inlineStr">
        <is>
          <t>general_and_administrative_opex_usd</t>
        </is>
      </c>
      <c r="G24" t="inlineStr">
        <is>
          <t>total_operating_expenses_usd</t>
        </is>
      </c>
    </row>
    <row r="25">
      <c r="A25" t="inlineStr">
        <is>
          <t>2026-03-01</t>
        </is>
      </c>
      <c r="B25">
        <v>1</v>
      </c>
      <c r="C25" t="inlineStr">
        <is>
          <t>phase_1_user_growth</t>
        </is>
      </c>
      <c r="D25">
        <f>D64</f>
        <v>106.92</v>
      </c>
      <c r="E25">
        <f>E64</f>
        <v>0</v>
      </c>
      <c r="F25">
        <f>G64</f>
        <v>531.5</v>
      </c>
      <c r="G25">
        <f>H64</f>
        <v>638.42</v>
      </c>
    </row>
    <row r="26">
      <c r="A26" t="inlineStr">
        <is>
          <t>2026-04-01</t>
        </is>
      </c>
      <c r="B26">
        <v>1</v>
      </c>
      <c r="C26" t="inlineStr">
        <is>
          <t>phase_1_user_growth</t>
        </is>
      </c>
      <c r="D26">
        <f>D65</f>
        <v>107.42</v>
      </c>
      <c r="E26">
        <f>E65</f>
        <v>0</v>
      </c>
      <c r="F26">
        <f>G65</f>
        <v>31.5</v>
      </c>
      <c r="G26">
        <f>H65</f>
        <v>138.92</v>
      </c>
    </row>
    <row r="27">
      <c r="A27" t="inlineStr">
        <is>
          <t>2026-05-01</t>
        </is>
      </c>
      <c r="B27">
        <v>1</v>
      </c>
      <c r="C27" t="inlineStr">
        <is>
          <t>phase_1_user_growth</t>
        </is>
      </c>
      <c r="D27">
        <f>D66</f>
        <v>108.13</v>
      </c>
      <c r="E27">
        <f>E66</f>
        <v>0</v>
      </c>
      <c r="F27">
        <f>G66</f>
        <v>31.5</v>
      </c>
      <c r="G27">
        <f>H66</f>
        <v>139.63</v>
      </c>
    </row>
    <row r="28">
      <c r="A28" t="inlineStr">
        <is>
          <t>2026-06-01</t>
        </is>
      </c>
      <c r="B28">
        <v>1</v>
      </c>
      <c r="C28" t="inlineStr">
        <is>
          <t>phase_1_user_growth</t>
        </is>
      </c>
      <c r="D28">
        <f>D67</f>
        <v>108.81</v>
      </c>
      <c r="E28">
        <f>E67</f>
        <v>0</v>
      </c>
      <c r="F28">
        <f>G67</f>
        <v>31.5</v>
      </c>
      <c r="G28">
        <f>H67</f>
        <v>140.31</v>
      </c>
    </row>
    <row r="29">
      <c r="A29" t="inlineStr">
        <is>
          <t>2026-07-01</t>
        </is>
      </c>
      <c r="B29">
        <v>1</v>
      </c>
      <c r="C29" t="inlineStr">
        <is>
          <t>phase_1_user_growth</t>
        </is>
      </c>
      <c r="D29">
        <f>D68</f>
        <v>109.54</v>
      </c>
      <c r="E29">
        <f>E68</f>
        <v>0</v>
      </c>
      <c r="F29">
        <f>G68</f>
        <v>31.5</v>
      </c>
      <c r="G29">
        <f>H68</f>
        <v>141.04</v>
      </c>
    </row>
    <row r="30">
      <c r="A30" t="inlineStr">
        <is>
          <t>2026-08-01</t>
        </is>
      </c>
      <c r="B30">
        <v>1</v>
      </c>
      <c r="C30" t="inlineStr">
        <is>
          <t>phase_1_user_growth</t>
        </is>
      </c>
      <c r="D30">
        <f>D69</f>
        <v>110.41</v>
      </c>
      <c r="E30">
        <f>E69</f>
        <v>0</v>
      </c>
      <c r="F30">
        <f>G69</f>
        <v>31.5</v>
      </c>
      <c r="G30">
        <f>H69</f>
        <v>141.91</v>
      </c>
    </row>
    <row r="31">
      <c r="A31" t="inlineStr">
        <is>
          <t>2026-09-01</t>
        </is>
      </c>
      <c r="B31">
        <v>1</v>
      </c>
      <c r="C31" t="inlineStr">
        <is>
          <t>phase_1_user_growth</t>
        </is>
      </c>
      <c r="D31">
        <f>D70</f>
        <v>111.27</v>
      </c>
      <c r="E31">
        <f>E70</f>
        <v>0</v>
      </c>
      <c r="F31">
        <f>G70</f>
        <v>31.5</v>
      </c>
      <c r="G31">
        <f>H70</f>
        <v>142.77</v>
      </c>
    </row>
    <row r="32">
      <c r="A32" t="inlineStr">
        <is>
          <t>2026-10-01</t>
        </is>
      </c>
      <c r="B32">
        <v>1</v>
      </c>
      <c r="C32" t="inlineStr">
        <is>
          <t>phase_1_user_growth</t>
        </is>
      </c>
      <c r="D32">
        <f>D71</f>
        <v>112.28</v>
      </c>
      <c r="E32">
        <f>E71</f>
        <v>0</v>
      </c>
      <c r="F32">
        <f>G71</f>
        <v>31.5</v>
      </c>
      <c r="G32">
        <f>H71</f>
        <v>143.78</v>
      </c>
    </row>
    <row r="33">
      <c r="A33" t="inlineStr">
        <is>
          <t>2026-11-01</t>
        </is>
      </c>
      <c r="B33">
        <v>1</v>
      </c>
      <c r="C33" t="inlineStr">
        <is>
          <t>phase_1_user_growth</t>
        </is>
      </c>
      <c r="D33">
        <f>D72</f>
        <v>113.97</v>
      </c>
      <c r="E33">
        <f>E72</f>
        <v>3800</v>
      </c>
      <c r="F33">
        <f>G72</f>
        <v>31.5</v>
      </c>
      <c r="G33">
        <f>H72</f>
        <v>3945.47</v>
      </c>
    </row>
    <row r="34">
      <c r="A34" t="inlineStr">
        <is>
          <t>2026-12-01</t>
        </is>
      </c>
      <c r="B34">
        <v>1</v>
      </c>
      <c r="C34" t="inlineStr">
        <is>
          <t>phase_1_user_growth</t>
        </is>
      </c>
      <c r="D34">
        <f>D73</f>
        <v>117.45</v>
      </c>
      <c r="E34">
        <f>E73</f>
        <v>3800</v>
      </c>
      <c r="F34">
        <f>G73</f>
        <v>31.5</v>
      </c>
      <c r="G34">
        <f>H73</f>
        <v>3948.95</v>
      </c>
    </row>
    <row r="35">
      <c r="A35" t="inlineStr">
        <is>
          <t>2027-01-01</t>
        </is>
      </c>
      <c r="B35">
        <v>1</v>
      </c>
      <c r="C35" t="inlineStr">
        <is>
          <t>phase_1_user_growth</t>
        </is>
      </c>
      <c r="D35">
        <f>D74</f>
        <v>118.31</v>
      </c>
      <c r="E35">
        <f>E74</f>
        <v>0</v>
      </c>
      <c r="F35">
        <f>G74</f>
        <v>31.5</v>
      </c>
      <c r="G35">
        <f>H74</f>
        <v>149.81</v>
      </c>
    </row>
    <row r="36">
      <c r="A36" t="inlineStr">
        <is>
          <t>2027-02-01</t>
        </is>
      </c>
      <c r="B36">
        <v>1</v>
      </c>
      <c r="C36" t="inlineStr">
        <is>
          <t>phase_1_user_growth</t>
        </is>
      </c>
      <c r="D36">
        <f>D75</f>
        <v>119.93</v>
      </c>
      <c r="E36">
        <f>E75</f>
        <v>0</v>
      </c>
      <c r="F36">
        <f>G75</f>
        <v>31.5</v>
      </c>
      <c r="G36">
        <f>H75</f>
        <v>151.43</v>
      </c>
    </row>
    <row r="37">
      <c r="A37" t="inlineStr">
        <is>
          <t>2027-03-01</t>
        </is>
      </c>
      <c r="B37">
        <v>2</v>
      </c>
      <c r="C37" t="inlineStr">
        <is>
          <t>phase_2_marketplace_activation</t>
        </is>
      </c>
      <c r="D37">
        <f>D76</f>
        <v>121.27</v>
      </c>
      <c r="E37">
        <f>E76</f>
        <v>0</v>
      </c>
      <c r="F37">
        <f>G76</f>
        <v>31.5</v>
      </c>
      <c r="G37">
        <f>H76</f>
        <v>152.77</v>
      </c>
    </row>
    <row r="38">
      <c r="A38" t="inlineStr">
        <is>
          <t>2027-04-01</t>
        </is>
      </c>
      <c r="B38">
        <v>2</v>
      </c>
      <c r="C38" t="inlineStr">
        <is>
          <t>phase_2_marketplace_activation</t>
        </is>
      </c>
      <c r="D38">
        <f>D77</f>
        <v>122.71</v>
      </c>
      <c r="E38">
        <f>E77</f>
        <v>0</v>
      </c>
      <c r="F38">
        <f>G77</f>
        <v>31.5</v>
      </c>
      <c r="G38">
        <f>H77</f>
        <v>154.21</v>
      </c>
    </row>
    <row r="39">
      <c r="A39" t="inlineStr">
        <is>
          <t>2027-05-01</t>
        </is>
      </c>
      <c r="B39">
        <v>2</v>
      </c>
      <c r="C39" t="inlineStr">
        <is>
          <t>phase_2_marketplace_activation</t>
        </is>
      </c>
      <c r="D39">
        <f>D78</f>
        <v>124.62</v>
      </c>
      <c r="E39">
        <f>E78</f>
        <v>0</v>
      </c>
      <c r="F39">
        <f>G78</f>
        <v>31.5</v>
      </c>
      <c r="G39">
        <f>H78</f>
        <v>156.12</v>
      </c>
    </row>
    <row r="40">
      <c r="A40" t="inlineStr">
        <is>
          <t>2027-06-01</t>
        </is>
      </c>
      <c r="B40">
        <v>2</v>
      </c>
      <c r="C40" t="inlineStr">
        <is>
          <t>phase_2_marketplace_activation</t>
        </is>
      </c>
      <c r="D40">
        <f>D79</f>
        <v>126.35</v>
      </c>
      <c r="E40">
        <f>E79</f>
        <v>0</v>
      </c>
      <c r="F40">
        <f>G79</f>
        <v>31.5</v>
      </c>
      <c r="G40">
        <f>H79</f>
        <v>157.85</v>
      </c>
    </row>
    <row r="41">
      <c r="A41" t="inlineStr">
        <is>
          <t>2027-07-01</t>
        </is>
      </c>
      <c r="B41">
        <v>2</v>
      </c>
      <c r="C41" t="inlineStr">
        <is>
          <t>phase_2_marketplace_activation</t>
        </is>
      </c>
      <c r="D41">
        <f>D80</f>
        <v>128.22</v>
      </c>
      <c r="E41">
        <f>E80</f>
        <v>0</v>
      </c>
      <c r="F41">
        <f>G80</f>
        <v>31.5</v>
      </c>
      <c r="G41">
        <f>H80</f>
        <v>159.72</v>
      </c>
    </row>
    <row r="42">
      <c r="A42" t="inlineStr">
        <is>
          <t>2027-08-01</t>
        </is>
      </c>
      <c r="B42">
        <v>2</v>
      </c>
      <c r="C42" t="inlineStr">
        <is>
          <t>phase_2_marketplace_activation</t>
        </is>
      </c>
      <c r="D42">
        <f>D81</f>
        <v>130.12</v>
      </c>
      <c r="E42">
        <f>E81</f>
        <v>0</v>
      </c>
      <c r="F42">
        <f>G81</f>
        <v>31.5</v>
      </c>
      <c r="G42">
        <f>H81</f>
        <v>161.62</v>
      </c>
    </row>
    <row r="43">
      <c r="A43" t="inlineStr">
        <is>
          <t>2027-09-01</t>
        </is>
      </c>
      <c r="B43">
        <v>2</v>
      </c>
      <c r="C43" t="inlineStr">
        <is>
          <t>phase_2_marketplace_activation</t>
        </is>
      </c>
      <c r="D43">
        <f>D82</f>
        <v>132.1</v>
      </c>
      <c r="E43">
        <f>E82</f>
        <v>0</v>
      </c>
      <c r="F43">
        <f>G82</f>
        <v>31.5</v>
      </c>
      <c r="G43">
        <f>H82</f>
        <v>163.6</v>
      </c>
    </row>
    <row r="44">
      <c r="A44" t="inlineStr">
        <is>
          <t>2027-10-01</t>
        </is>
      </c>
      <c r="B44">
        <v>2</v>
      </c>
      <c r="C44" t="inlineStr">
        <is>
          <t>phase_2_marketplace_activation</t>
        </is>
      </c>
      <c r="D44">
        <f>D83</f>
        <v>134.3</v>
      </c>
      <c r="E44">
        <f>E83</f>
        <v>0</v>
      </c>
      <c r="F44">
        <f>G83</f>
        <v>31.5</v>
      </c>
      <c r="G44">
        <f>H83</f>
        <v>165.8</v>
      </c>
    </row>
    <row r="45">
      <c r="A45" t="inlineStr">
        <is>
          <t>2027-11-01</t>
        </is>
      </c>
      <c r="B45">
        <v>2</v>
      </c>
      <c r="C45" t="inlineStr">
        <is>
          <t>phase_2_marketplace_activation</t>
        </is>
      </c>
      <c r="D45">
        <f>D84</f>
        <v>137.74</v>
      </c>
      <c r="E45">
        <f>E84</f>
        <v>5950</v>
      </c>
      <c r="F45">
        <f>G84</f>
        <v>31.5</v>
      </c>
      <c r="G45">
        <f>H84</f>
        <v>6119.24</v>
      </c>
    </row>
    <row r="46">
      <c r="A46" t="inlineStr">
        <is>
          <t>2027-12-01</t>
        </is>
      </c>
      <c r="B46">
        <v>2</v>
      </c>
      <c r="C46" t="inlineStr">
        <is>
          <t>phase_2_marketplace_activation</t>
        </is>
      </c>
      <c r="D46">
        <f>D85</f>
        <v>144.77</v>
      </c>
      <c r="E46">
        <f>E85</f>
        <v>5950</v>
      </c>
      <c r="F46">
        <f>G85</f>
        <v>31.5</v>
      </c>
      <c r="G46">
        <f>H85</f>
        <v>6126.27</v>
      </c>
    </row>
    <row r="47">
      <c r="A47" t="inlineStr">
        <is>
          <t>2028-01-01</t>
        </is>
      </c>
      <c r="B47">
        <v>2</v>
      </c>
      <c r="C47" t="inlineStr">
        <is>
          <t>phase_2_marketplace_activation</t>
        </is>
      </c>
      <c r="D47">
        <f>D86</f>
        <v>146.3</v>
      </c>
      <c r="E47">
        <f>E86</f>
        <v>0</v>
      </c>
      <c r="F47">
        <f>G86</f>
        <v>31.5</v>
      </c>
      <c r="G47">
        <f>H86</f>
        <v>177.8</v>
      </c>
    </row>
    <row r="48">
      <c r="A48" t="inlineStr">
        <is>
          <t>2028-02-01</t>
        </is>
      </c>
      <c r="B48">
        <v>2</v>
      </c>
      <c r="C48" t="inlineStr">
        <is>
          <t>phase_2_marketplace_activation</t>
        </is>
      </c>
      <c r="D48">
        <f>D87</f>
        <v>149.18</v>
      </c>
      <c r="E48">
        <f>E87</f>
        <v>0</v>
      </c>
      <c r="F48">
        <f>G87</f>
        <v>31.5</v>
      </c>
      <c r="G48">
        <f>H87</f>
        <v>180.68</v>
      </c>
    </row>
    <row r="49">
      <c r="A49" t="inlineStr">
        <is>
          <t>2028-03-01</t>
        </is>
      </c>
      <c r="B49">
        <v>3</v>
      </c>
      <c r="C49" t="inlineStr">
        <is>
          <t>phase_3_projection</t>
        </is>
      </c>
      <c r="D49">
        <f>D88</f>
        <v>151.64</v>
      </c>
      <c r="E49">
        <f>E88</f>
        <v>0</v>
      </c>
      <c r="F49">
        <f>G88</f>
        <v>47.25</v>
      </c>
      <c r="G49">
        <f>H88</f>
        <v>198.89</v>
      </c>
    </row>
    <row r="50">
      <c r="A50" t="inlineStr">
        <is>
          <t>2028-04-01</t>
        </is>
      </c>
      <c r="B50">
        <v>3</v>
      </c>
      <c r="C50" t="inlineStr">
        <is>
          <t>phase_3_projection</t>
        </is>
      </c>
      <c r="D50">
        <f>D89</f>
        <v>154.26</v>
      </c>
      <c r="E50">
        <f>E89</f>
        <v>0</v>
      </c>
      <c r="F50">
        <f>G89</f>
        <v>47.25</v>
      </c>
      <c r="G50">
        <f>H89</f>
        <v>201.51</v>
      </c>
    </row>
    <row r="51">
      <c r="A51" t="inlineStr">
        <is>
          <t>2028-05-01</t>
        </is>
      </c>
      <c r="B51">
        <v>3</v>
      </c>
      <c r="C51" t="inlineStr">
        <is>
          <t>phase_3_projection</t>
        </is>
      </c>
      <c r="D51">
        <f>D90</f>
        <v>157.54</v>
      </c>
      <c r="E51">
        <f>E90</f>
        <v>0</v>
      </c>
      <c r="F51">
        <f>G90</f>
        <v>47.25</v>
      </c>
      <c r="G51">
        <f>H90</f>
        <v>204.79</v>
      </c>
    </row>
    <row r="52">
      <c r="A52" t="inlineStr">
        <is>
          <t>2028-06-01</t>
        </is>
      </c>
      <c r="B52">
        <v>3</v>
      </c>
      <c r="C52" t="inlineStr">
        <is>
          <t>phase_3_projection</t>
        </is>
      </c>
      <c r="D52">
        <f>D91</f>
        <v>160.34</v>
      </c>
      <c r="E52">
        <f>E91</f>
        <v>0</v>
      </c>
      <c r="F52">
        <f>G91</f>
        <v>47.25</v>
      </c>
      <c r="G52">
        <f>H91</f>
        <v>207.59</v>
      </c>
    </row>
    <row r="53">
      <c r="A53" t="inlineStr">
        <is>
          <t>2028-07-01</t>
        </is>
      </c>
      <c r="B53">
        <v>3</v>
      </c>
      <c r="C53" t="inlineStr">
        <is>
          <t>phase_3_projection</t>
        </is>
      </c>
      <c r="D53">
        <f>D92</f>
        <v>163.31</v>
      </c>
      <c r="E53">
        <f>E92</f>
        <v>0</v>
      </c>
      <c r="F53">
        <f>G92</f>
        <v>47.25</v>
      </c>
      <c r="G53">
        <f>H92</f>
        <v>210.56</v>
      </c>
    </row>
    <row r="54">
      <c r="A54" t="inlineStr">
        <is>
          <t>2028-08-01</t>
        </is>
      </c>
      <c r="B54">
        <v>3</v>
      </c>
      <c r="C54" t="inlineStr">
        <is>
          <t>phase_3_projection</t>
        </is>
      </c>
      <c r="D54">
        <f>D93</f>
        <v>166.36</v>
      </c>
      <c r="E54">
        <f>E93</f>
        <v>0</v>
      </c>
      <c r="F54">
        <f>G93</f>
        <v>47.25</v>
      </c>
      <c r="G54">
        <f>H93</f>
        <v>213.61</v>
      </c>
    </row>
    <row r="55">
      <c r="A55" t="inlineStr">
        <is>
          <t>2028-09-01</t>
        </is>
      </c>
      <c r="B55">
        <v>3</v>
      </c>
      <c r="C55" t="inlineStr">
        <is>
          <t>phase_3_projection</t>
        </is>
      </c>
      <c r="D55">
        <f>D94</f>
        <v>169.33</v>
      </c>
      <c r="E55">
        <f>E94</f>
        <v>0</v>
      </c>
      <c r="F55">
        <f>G94</f>
        <v>47.25</v>
      </c>
      <c r="G55">
        <f>H94</f>
        <v>216.58</v>
      </c>
    </row>
    <row r="56">
      <c r="A56" t="inlineStr">
        <is>
          <t>2028-10-01</t>
        </is>
      </c>
      <c r="B56">
        <v>3</v>
      </c>
      <c r="C56" t="inlineStr">
        <is>
          <t>phase_3_projection</t>
        </is>
      </c>
      <c r="D56">
        <f>D95</f>
        <v>172.64</v>
      </c>
      <c r="E56">
        <f>E95</f>
        <v>0</v>
      </c>
      <c r="F56">
        <f>G95</f>
        <v>47.25</v>
      </c>
      <c r="G56">
        <f>H95</f>
        <v>219.89</v>
      </c>
    </row>
    <row r="57">
      <c r="A57" t="inlineStr">
        <is>
          <t>2028-11-01</t>
        </is>
      </c>
      <c r="B57">
        <v>3</v>
      </c>
      <c r="C57" t="inlineStr">
        <is>
          <t>phase_3_projection</t>
        </is>
      </c>
      <c r="D57">
        <f>D96</f>
        <v>177.91</v>
      </c>
      <c r="E57">
        <f>E96</f>
        <v>8000</v>
      </c>
      <c r="F57">
        <f>G96</f>
        <v>47.25</v>
      </c>
      <c r="G57">
        <f>H96</f>
        <v>8225.16</v>
      </c>
    </row>
    <row r="58">
      <c r="A58" t="inlineStr">
        <is>
          <t>2028-12-01</t>
        </is>
      </c>
      <c r="B58">
        <v>3</v>
      </c>
      <c r="C58" t="inlineStr">
        <is>
          <t>phase_3_projection</t>
        </is>
      </c>
      <c r="D58">
        <f>D97</f>
        <v>188.02</v>
      </c>
      <c r="E58">
        <f>E97</f>
        <v>8000</v>
      </c>
      <c r="F58">
        <f>G97</f>
        <v>47.25</v>
      </c>
      <c r="G58">
        <f>H97</f>
        <v>8235.27</v>
      </c>
    </row>
    <row r="59">
      <c r="A59" t="inlineStr">
        <is>
          <t>2029-01-01</t>
        </is>
      </c>
      <c r="B59">
        <v>3</v>
      </c>
      <c r="C59" t="inlineStr">
        <is>
          <t>phase_3_projection</t>
        </is>
      </c>
      <c r="D59">
        <f>D98</f>
        <v>190.25</v>
      </c>
      <c r="E59">
        <f>E98</f>
        <v>0</v>
      </c>
      <c r="F59">
        <f>G98</f>
        <v>47.25</v>
      </c>
      <c r="G59">
        <f>H98</f>
        <v>237.5</v>
      </c>
    </row>
    <row r="60">
      <c r="A60" t="inlineStr">
        <is>
          <t>2029-02-01</t>
        </is>
      </c>
      <c r="B60">
        <v>3</v>
      </c>
      <c r="C60" t="inlineStr">
        <is>
          <t>phase_3_projection</t>
        </is>
      </c>
      <c r="D60">
        <f>D99</f>
        <v>194.44</v>
      </c>
      <c r="E60">
        <f>E99</f>
        <v>0</v>
      </c>
      <c r="F60">
        <f>G99</f>
        <v>47.25</v>
      </c>
      <c r="G60">
        <f>H99</f>
        <v>241.69</v>
      </c>
    </row>
    <row r="61">
      <c r="A61" t="inlineStr">
        <is>
          <t/>
        </is>
      </c>
      <c r="B61" t="inlineStr">
        <is>
          <t/>
        </is>
      </c>
      <c r="C61" t="inlineStr">
        <is>
          <t/>
        </is>
      </c>
      <c r="D61" t="inlineStr">
        <is>
          <t/>
        </is>
      </c>
      <c r="E61" t="inlineStr">
        <is>
          <t/>
        </is>
      </c>
      <c r="F61" t="inlineStr">
        <is>
          <t/>
        </is>
      </c>
      <c r="G61" t="inlineStr">
        <is>
          <t/>
        </is>
      </c>
    </row>
    <row r="62">
      <c r="A62" t="inlineStr">
        <is>
          <t>[Expense Detail]</t>
        </is>
      </c>
      <c r="B62" t="inlineStr">
        <is>
          <t/>
        </is>
      </c>
      <c r="C62" t="inlineStr">
        <is>
          <t>Underlying operating-expense detail that rolls up into the PE-style summary table above.</t>
        </is>
      </c>
    </row>
    <row r="63">
      <c r="A63" t="inlineStr">
        <is>
          <t>month</t>
        </is>
      </c>
      <c r="B63" t="inlineStr">
        <is>
          <t>year_index</t>
        </is>
      </c>
      <c r="C63" t="inlineStr">
        <is>
          <t>phase</t>
        </is>
      </c>
      <c r="D63" t="inlineStr">
        <is>
          <t>total_cloud_costs</t>
        </is>
      </c>
      <c r="E63" t="inlineStr">
        <is>
          <t>sales_marketing_cost_usd</t>
        </is>
      </c>
      <c r="F63" t="inlineStr">
        <is>
          <t>software_tools_usd</t>
        </is>
      </c>
      <c r="G63" t="inlineStr">
        <is>
          <t>non_payroll_overhead_cost_usd</t>
        </is>
      </c>
      <c r="H63" t="inlineStr">
        <is>
          <t>total_expenses_usd</t>
        </is>
      </c>
    </row>
    <row r="64">
      <c r="A64" t="inlineStr">
        <is>
          <t>2026-03-01</t>
        </is>
      </c>
      <c r="B64">
        <v>1</v>
      </c>
      <c r="C64" t="inlineStr">
        <is>
          <t>phase_1_user_growth</t>
        </is>
      </c>
      <c r="D64">
        <f>K135</f>
        <v>106.92</v>
      </c>
      <c r="E64">
        <f>IF(OR(MID($A64,6,2)="11",MID($A64,6,2)="12"),IF(B64=1,$B$6,IF(B64=2,$B$7,$B$8)),0)+IF(OR(MID($A64,6,2)="11",MID($A64,6,2)="12"),IF(B64=1,$B$9,IF(B64=2,$B$10,$B$11)),0)+IF(OR(MID($A64,6,2)="11",MID($A64,6,2)="12"),IF(B64=1,$B$12,IF(B64=2,$B$13,$B$14)),0)+IF(OR(MID($A64,6,2)="11",MID($A64,6,2)="12"),IF(B64=1,$B$15,IF(B64=2,$B$16,$B$17)),0)</f>
        <v>0</v>
      </c>
      <c r="F64">
        <f>ROUND((IF(B64=1,$B$18,IF(B64=2,$B$19,$B$20)))*$B$21,2)</f>
        <v>31.5</v>
      </c>
      <c r="G64">
        <f>ROUND(F64+$B$22,2)</f>
        <v>531.5</v>
      </c>
      <c r="H64">
        <f>ROUND(D64+E64+G64,2)</f>
        <v>638.42</v>
      </c>
    </row>
    <row r="65">
      <c r="A65" t="inlineStr">
        <is>
          <t>2026-04-01</t>
        </is>
      </c>
      <c r="B65">
        <v>1</v>
      </c>
      <c r="C65" t="inlineStr">
        <is>
          <t>phase_1_user_growth</t>
        </is>
      </c>
      <c r="D65">
        <f>K136</f>
        <v>107.42</v>
      </c>
      <c r="E65">
        <f>IF(OR(MID($A65,6,2)="11",MID($A65,6,2)="12"),IF(B65=1,$B$6,IF(B65=2,$B$7,$B$8)),0)+IF(OR(MID($A65,6,2)="11",MID($A65,6,2)="12"),IF(B65=1,$B$9,IF(B65=2,$B$10,$B$11)),0)+IF(OR(MID($A65,6,2)="11",MID($A65,6,2)="12"),IF(B65=1,$B$12,IF(B65=2,$B$13,$B$14)),0)+IF(OR(MID($A65,6,2)="11",MID($A65,6,2)="12"),IF(B65=1,$B$15,IF(B65=2,$B$16,$B$17)),0)</f>
        <v>0</v>
      </c>
      <c r="F65">
        <f>ROUND((IF(B65=1,$B$18,IF(B65=2,$B$19,$B$20)))*$B$21,2)</f>
        <v>31.5</v>
      </c>
      <c r="G65">
        <f>ROUND(F65,2)</f>
        <v>31.5</v>
      </c>
      <c r="H65">
        <f>ROUND(D65+E65+G65,2)</f>
        <v>138.92</v>
      </c>
    </row>
    <row r="66">
      <c r="A66" t="inlineStr">
        <is>
          <t>2026-05-01</t>
        </is>
      </c>
      <c r="B66">
        <v>1</v>
      </c>
      <c r="C66" t="inlineStr">
        <is>
          <t>phase_1_user_growth</t>
        </is>
      </c>
      <c r="D66">
        <f>K137</f>
        <v>108.13</v>
      </c>
      <c r="E66">
        <f>IF(OR(MID($A66,6,2)="11",MID($A66,6,2)="12"),IF(B66=1,$B$6,IF(B66=2,$B$7,$B$8)),0)+IF(OR(MID($A66,6,2)="11",MID($A66,6,2)="12"),IF(B66=1,$B$9,IF(B66=2,$B$10,$B$11)),0)+IF(OR(MID($A66,6,2)="11",MID($A66,6,2)="12"),IF(B66=1,$B$12,IF(B66=2,$B$13,$B$14)),0)+IF(OR(MID($A66,6,2)="11",MID($A66,6,2)="12"),IF(B66=1,$B$15,IF(B66=2,$B$16,$B$17)),0)</f>
        <v>0</v>
      </c>
      <c r="F66">
        <f>ROUND((IF(B66=1,$B$18,IF(B66=2,$B$19,$B$20)))*$B$21,2)</f>
        <v>31.5</v>
      </c>
      <c r="G66">
        <f>ROUND(F66,2)</f>
        <v>31.5</v>
      </c>
      <c r="H66">
        <f>ROUND(D66+E66+G66,2)</f>
        <v>139.63</v>
      </c>
    </row>
    <row r="67">
      <c r="A67" t="inlineStr">
        <is>
          <t>2026-06-01</t>
        </is>
      </c>
      <c r="B67">
        <v>1</v>
      </c>
      <c r="C67" t="inlineStr">
        <is>
          <t>phase_1_user_growth</t>
        </is>
      </c>
      <c r="D67">
        <f>K138</f>
        <v>108.81</v>
      </c>
      <c r="E67">
        <f>IF(OR(MID($A67,6,2)="11",MID($A67,6,2)="12"),IF(B67=1,$B$6,IF(B67=2,$B$7,$B$8)),0)+IF(OR(MID($A67,6,2)="11",MID($A67,6,2)="12"),IF(B67=1,$B$9,IF(B67=2,$B$10,$B$11)),0)+IF(OR(MID($A67,6,2)="11",MID($A67,6,2)="12"),IF(B67=1,$B$12,IF(B67=2,$B$13,$B$14)),0)+IF(OR(MID($A67,6,2)="11",MID($A67,6,2)="12"),IF(B67=1,$B$15,IF(B67=2,$B$16,$B$17)),0)</f>
        <v>0</v>
      </c>
      <c r="F67">
        <f>ROUND((IF(B67=1,$B$18,IF(B67=2,$B$19,$B$20)))*$B$21,2)</f>
        <v>31.5</v>
      </c>
      <c r="G67">
        <f>ROUND(F67,2)</f>
        <v>31.5</v>
      </c>
      <c r="H67">
        <f>ROUND(D67+E67+G67,2)</f>
        <v>140.31</v>
      </c>
    </row>
    <row r="68">
      <c r="A68" t="inlineStr">
        <is>
          <t>2026-07-01</t>
        </is>
      </c>
      <c r="B68">
        <v>1</v>
      </c>
      <c r="C68" t="inlineStr">
        <is>
          <t>phase_1_user_growth</t>
        </is>
      </c>
      <c r="D68">
        <f>K139</f>
        <v>109.54</v>
      </c>
      <c r="E68">
        <f>IF(OR(MID($A68,6,2)="11",MID($A68,6,2)="12"),IF(B68=1,$B$6,IF(B68=2,$B$7,$B$8)),0)+IF(OR(MID($A68,6,2)="11",MID($A68,6,2)="12"),IF(B68=1,$B$9,IF(B68=2,$B$10,$B$11)),0)+IF(OR(MID($A68,6,2)="11",MID($A68,6,2)="12"),IF(B68=1,$B$12,IF(B68=2,$B$13,$B$14)),0)+IF(OR(MID($A68,6,2)="11",MID($A68,6,2)="12"),IF(B68=1,$B$15,IF(B68=2,$B$16,$B$17)),0)</f>
        <v>0</v>
      </c>
      <c r="F68">
        <f>ROUND((IF(B68=1,$B$18,IF(B68=2,$B$19,$B$20)))*$B$21,2)</f>
        <v>31.5</v>
      </c>
      <c r="G68">
        <f>ROUND(F68,2)</f>
        <v>31.5</v>
      </c>
      <c r="H68">
        <f>ROUND(D68+E68+G68,2)</f>
        <v>141.04</v>
      </c>
    </row>
    <row r="69">
      <c r="A69" t="inlineStr">
        <is>
          <t>2026-08-01</t>
        </is>
      </c>
      <c r="B69">
        <v>1</v>
      </c>
      <c r="C69" t="inlineStr">
        <is>
          <t>phase_1_user_growth</t>
        </is>
      </c>
      <c r="D69">
        <f>K140</f>
        <v>110.41</v>
      </c>
      <c r="E69">
        <f>IF(OR(MID($A69,6,2)="11",MID($A69,6,2)="12"),IF(B69=1,$B$6,IF(B69=2,$B$7,$B$8)),0)+IF(OR(MID($A69,6,2)="11",MID($A69,6,2)="12"),IF(B69=1,$B$9,IF(B69=2,$B$10,$B$11)),0)+IF(OR(MID($A69,6,2)="11",MID($A69,6,2)="12"),IF(B69=1,$B$12,IF(B69=2,$B$13,$B$14)),0)+IF(OR(MID($A69,6,2)="11",MID($A69,6,2)="12"),IF(B69=1,$B$15,IF(B69=2,$B$16,$B$17)),0)</f>
        <v>0</v>
      </c>
      <c r="F69">
        <f>ROUND((IF(B69=1,$B$18,IF(B69=2,$B$19,$B$20)))*$B$21,2)</f>
        <v>31.5</v>
      </c>
      <c r="G69">
        <f>ROUND(F69,2)</f>
        <v>31.5</v>
      </c>
      <c r="H69">
        <f>ROUND(D69+E69+G69,2)</f>
        <v>141.91</v>
      </c>
    </row>
    <row r="70">
      <c r="A70" t="inlineStr">
        <is>
          <t>2026-09-01</t>
        </is>
      </c>
      <c r="B70">
        <v>1</v>
      </c>
      <c r="C70" t="inlineStr">
        <is>
          <t>phase_1_user_growth</t>
        </is>
      </c>
      <c r="D70">
        <f>K141</f>
        <v>111.27</v>
      </c>
      <c r="E70">
        <f>IF(OR(MID($A70,6,2)="11",MID($A70,6,2)="12"),IF(B70=1,$B$6,IF(B70=2,$B$7,$B$8)),0)+IF(OR(MID($A70,6,2)="11",MID($A70,6,2)="12"),IF(B70=1,$B$9,IF(B70=2,$B$10,$B$11)),0)+IF(OR(MID($A70,6,2)="11",MID($A70,6,2)="12"),IF(B70=1,$B$12,IF(B70=2,$B$13,$B$14)),0)+IF(OR(MID($A70,6,2)="11",MID($A70,6,2)="12"),IF(B70=1,$B$15,IF(B70=2,$B$16,$B$17)),0)</f>
        <v>0</v>
      </c>
      <c r="F70">
        <f>ROUND((IF(B70=1,$B$18,IF(B70=2,$B$19,$B$20)))*$B$21,2)</f>
        <v>31.5</v>
      </c>
      <c r="G70">
        <f>ROUND(F70,2)</f>
        <v>31.5</v>
      </c>
      <c r="H70">
        <f>ROUND(D70+E70+G70,2)</f>
        <v>142.77</v>
      </c>
    </row>
    <row r="71">
      <c r="A71" t="inlineStr">
        <is>
          <t>2026-10-01</t>
        </is>
      </c>
      <c r="B71">
        <v>1</v>
      </c>
      <c r="C71" t="inlineStr">
        <is>
          <t>phase_1_user_growth</t>
        </is>
      </c>
      <c r="D71">
        <f>K142</f>
        <v>112.28</v>
      </c>
      <c r="E71">
        <f>IF(OR(MID($A71,6,2)="11",MID($A71,6,2)="12"),IF(B71=1,$B$6,IF(B71=2,$B$7,$B$8)),0)+IF(OR(MID($A71,6,2)="11",MID($A71,6,2)="12"),IF(B71=1,$B$9,IF(B71=2,$B$10,$B$11)),0)+IF(OR(MID($A71,6,2)="11",MID($A71,6,2)="12"),IF(B71=1,$B$12,IF(B71=2,$B$13,$B$14)),0)+IF(OR(MID($A71,6,2)="11",MID($A71,6,2)="12"),IF(B71=1,$B$15,IF(B71=2,$B$16,$B$17)),0)</f>
        <v>0</v>
      </c>
      <c r="F71">
        <f>ROUND((IF(B71=1,$B$18,IF(B71=2,$B$19,$B$20)))*$B$21,2)</f>
        <v>31.5</v>
      </c>
      <c r="G71">
        <f>ROUND(F71,2)</f>
        <v>31.5</v>
      </c>
      <c r="H71">
        <f>ROUND(D71+E71+G71,2)</f>
        <v>143.78</v>
      </c>
    </row>
    <row r="72">
      <c r="A72" t="inlineStr">
        <is>
          <t>2026-11-01</t>
        </is>
      </c>
      <c r="B72">
        <v>1</v>
      </c>
      <c r="C72" t="inlineStr">
        <is>
          <t>phase_1_user_growth</t>
        </is>
      </c>
      <c r="D72">
        <f>K143</f>
        <v>113.97</v>
      </c>
      <c r="E72">
        <f>IF(OR(MID($A72,6,2)="11",MID($A72,6,2)="12"),IF(B72=1,$B$6,IF(B72=2,$B$7,$B$8)),0)+IF(OR(MID($A72,6,2)="11",MID($A72,6,2)="12"),IF(B72=1,$B$9,IF(B72=2,$B$10,$B$11)),0)+IF(OR(MID($A72,6,2)="11",MID($A72,6,2)="12"),IF(B72=1,$B$12,IF(B72=2,$B$13,$B$14)),0)+IF(OR(MID($A72,6,2)="11",MID($A72,6,2)="12"),IF(B72=1,$B$15,IF(B72=2,$B$16,$B$17)),0)</f>
        <v>3800</v>
      </c>
      <c r="F72">
        <f>ROUND((IF(B72=1,$B$18,IF(B72=2,$B$19,$B$20)))*$B$21,2)</f>
        <v>31.5</v>
      </c>
      <c r="G72">
        <f>ROUND(F72,2)</f>
        <v>31.5</v>
      </c>
      <c r="H72">
        <f>ROUND(D72+E72+G72,2)</f>
        <v>3945.47</v>
      </c>
    </row>
    <row r="73">
      <c r="A73" t="inlineStr">
        <is>
          <t>2026-12-01</t>
        </is>
      </c>
      <c r="B73">
        <v>1</v>
      </c>
      <c r="C73" t="inlineStr">
        <is>
          <t>phase_1_user_growth</t>
        </is>
      </c>
      <c r="D73">
        <f>K144</f>
        <v>117.45</v>
      </c>
      <c r="E73">
        <f>IF(OR(MID($A73,6,2)="11",MID($A73,6,2)="12"),IF(B73=1,$B$6,IF(B73=2,$B$7,$B$8)),0)+IF(OR(MID($A73,6,2)="11",MID($A73,6,2)="12"),IF(B73=1,$B$9,IF(B73=2,$B$10,$B$11)),0)+IF(OR(MID($A73,6,2)="11",MID($A73,6,2)="12"),IF(B73=1,$B$12,IF(B73=2,$B$13,$B$14)),0)+IF(OR(MID($A73,6,2)="11",MID($A73,6,2)="12"),IF(B73=1,$B$15,IF(B73=2,$B$16,$B$17)),0)</f>
        <v>3800</v>
      </c>
      <c r="F73">
        <f>ROUND((IF(B73=1,$B$18,IF(B73=2,$B$19,$B$20)))*$B$21,2)</f>
        <v>31.5</v>
      </c>
      <c r="G73">
        <f>ROUND(F73,2)</f>
        <v>31.5</v>
      </c>
      <c r="H73">
        <f>ROUND(D73+E73+G73,2)</f>
        <v>3948.95</v>
      </c>
    </row>
    <row r="74">
      <c r="A74" t="inlineStr">
        <is>
          <t>2027-01-01</t>
        </is>
      </c>
      <c r="B74">
        <v>1</v>
      </c>
      <c r="C74" t="inlineStr">
        <is>
          <t>phase_1_user_growth</t>
        </is>
      </c>
      <c r="D74">
        <f>K145</f>
        <v>118.31</v>
      </c>
      <c r="E74">
        <f>IF(OR(MID($A74,6,2)="11",MID($A74,6,2)="12"),IF(B74=1,$B$6,IF(B74=2,$B$7,$B$8)),0)+IF(OR(MID($A74,6,2)="11",MID($A74,6,2)="12"),IF(B74=1,$B$9,IF(B74=2,$B$10,$B$11)),0)+IF(OR(MID($A74,6,2)="11",MID($A74,6,2)="12"),IF(B74=1,$B$12,IF(B74=2,$B$13,$B$14)),0)+IF(OR(MID($A74,6,2)="11",MID($A74,6,2)="12"),IF(B74=1,$B$15,IF(B74=2,$B$16,$B$17)),0)</f>
        <v>0</v>
      </c>
      <c r="F74">
        <f>ROUND((IF(B74=1,$B$18,IF(B74=2,$B$19,$B$20)))*$B$21,2)</f>
        <v>31.5</v>
      </c>
      <c r="G74">
        <f>ROUND(F74,2)</f>
        <v>31.5</v>
      </c>
      <c r="H74">
        <f>ROUND(D74+E74+G74,2)</f>
        <v>149.81</v>
      </c>
    </row>
    <row r="75">
      <c r="A75" t="inlineStr">
        <is>
          <t>2027-02-01</t>
        </is>
      </c>
      <c r="B75">
        <v>1</v>
      </c>
      <c r="C75" t="inlineStr">
        <is>
          <t>phase_1_user_growth</t>
        </is>
      </c>
      <c r="D75">
        <f>K146</f>
        <v>119.93</v>
      </c>
      <c r="E75">
        <f>IF(OR(MID($A75,6,2)="11",MID($A75,6,2)="12"),IF(B75=1,$B$6,IF(B75=2,$B$7,$B$8)),0)+IF(OR(MID($A75,6,2)="11",MID($A75,6,2)="12"),IF(B75=1,$B$9,IF(B75=2,$B$10,$B$11)),0)+IF(OR(MID($A75,6,2)="11",MID($A75,6,2)="12"),IF(B75=1,$B$12,IF(B75=2,$B$13,$B$14)),0)+IF(OR(MID($A75,6,2)="11",MID($A75,6,2)="12"),IF(B75=1,$B$15,IF(B75=2,$B$16,$B$17)),0)</f>
        <v>0</v>
      </c>
      <c r="F75">
        <f>ROUND((IF(B75=1,$B$18,IF(B75=2,$B$19,$B$20)))*$B$21,2)</f>
        <v>31.5</v>
      </c>
      <c r="G75">
        <f>ROUND(F75,2)</f>
        <v>31.5</v>
      </c>
      <c r="H75">
        <f>ROUND(D75+E75+G75,2)</f>
        <v>151.43</v>
      </c>
    </row>
    <row r="76">
      <c r="A76" t="inlineStr">
        <is>
          <t>2027-03-01</t>
        </is>
      </c>
      <c r="B76">
        <v>2</v>
      </c>
      <c r="C76" t="inlineStr">
        <is>
          <t>phase_2_marketplace_activation</t>
        </is>
      </c>
      <c r="D76">
        <f>K147</f>
        <v>121.27</v>
      </c>
      <c r="E76">
        <f>IF(OR(MID($A76,6,2)="11",MID($A76,6,2)="12"),IF(B76=1,$B$6,IF(B76=2,$B$7,$B$8)),0)+IF(OR(MID($A76,6,2)="11",MID($A76,6,2)="12"),IF(B76=1,$B$9,IF(B76=2,$B$10,$B$11)),0)+IF(OR(MID($A76,6,2)="11",MID($A76,6,2)="12"),IF(B76=1,$B$12,IF(B76=2,$B$13,$B$14)),0)+IF(OR(MID($A76,6,2)="11",MID($A76,6,2)="12"),IF(B76=1,$B$15,IF(B76=2,$B$16,$B$17)),0)</f>
        <v>0</v>
      </c>
      <c r="F76">
        <f>ROUND((IF(B76=1,$B$18,IF(B76=2,$B$19,$B$20)))*$B$21,2)</f>
        <v>31.5</v>
      </c>
      <c r="G76">
        <f>ROUND(F76,2)</f>
        <v>31.5</v>
      </c>
      <c r="H76">
        <f>ROUND(D76+E76+G76,2)</f>
        <v>152.77</v>
      </c>
    </row>
    <row r="77">
      <c r="A77" t="inlineStr">
        <is>
          <t>2027-04-01</t>
        </is>
      </c>
      <c r="B77">
        <v>2</v>
      </c>
      <c r="C77" t="inlineStr">
        <is>
          <t>phase_2_marketplace_activation</t>
        </is>
      </c>
      <c r="D77">
        <f>K148</f>
        <v>122.71</v>
      </c>
      <c r="E77">
        <f>IF(OR(MID($A77,6,2)="11",MID($A77,6,2)="12"),IF(B77=1,$B$6,IF(B77=2,$B$7,$B$8)),0)+IF(OR(MID($A77,6,2)="11",MID($A77,6,2)="12"),IF(B77=1,$B$9,IF(B77=2,$B$10,$B$11)),0)+IF(OR(MID($A77,6,2)="11",MID($A77,6,2)="12"),IF(B77=1,$B$12,IF(B77=2,$B$13,$B$14)),0)+IF(OR(MID($A77,6,2)="11",MID($A77,6,2)="12"),IF(B77=1,$B$15,IF(B77=2,$B$16,$B$17)),0)</f>
        <v>0</v>
      </c>
      <c r="F77">
        <f>ROUND((IF(B77=1,$B$18,IF(B77=2,$B$19,$B$20)))*$B$21,2)</f>
        <v>31.5</v>
      </c>
      <c r="G77">
        <f>ROUND(F77,2)</f>
        <v>31.5</v>
      </c>
      <c r="H77">
        <f>ROUND(D77+E77+G77,2)</f>
        <v>154.21</v>
      </c>
    </row>
    <row r="78">
      <c r="A78" t="inlineStr">
        <is>
          <t>2027-05-01</t>
        </is>
      </c>
      <c r="B78">
        <v>2</v>
      </c>
      <c r="C78" t="inlineStr">
        <is>
          <t>phase_2_marketplace_activation</t>
        </is>
      </c>
      <c r="D78">
        <f>K149</f>
        <v>124.62</v>
      </c>
      <c r="E78">
        <f>IF(OR(MID($A78,6,2)="11",MID($A78,6,2)="12"),IF(B78=1,$B$6,IF(B78=2,$B$7,$B$8)),0)+IF(OR(MID($A78,6,2)="11",MID($A78,6,2)="12"),IF(B78=1,$B$9,IF(B78=2,$B$10,$B$11)),0)+IF(OR(MID($A78,6,2)="11",MID($A78,6,2)="12"),IF(B78=1,$B$12,IF(B78=2,$B$13,$B$14)),0)+IF(OR(MID($A78,6,2)="11",MID($A78,6,2)="12"),IF(B78=1,$B$15,IF(B78=2,$B$16,$B$17)),0)</f>
        <v>0</v>
      </c>
      <c r="F78">
        <f>ROUND((IF(B78=1,$B$18,IF(B78=2,$B$19,$B$20)))*$B$21,2)</f>
        <v>31.5</v>
      </c>
      <c r="G78">
        <f>ROUND(F78,2)</f>
        <v>31.5</v>
      </c>
      <c r="H78">
        <f>ROUND(D78+E78+G78,2)</f>
        <v>156.12</v>
      </c>
    </row>
    <row r="79">
      <c r="A79" t="inlineStr">
        <is>
          <t>2027-06-01</t>
        </is>
      </c>
      <c r="B79">
        <v>2</v>
      </c>
      <c r="C79" t="inlineStr">
        <is>
          <t>phase_2_marketplace_activation</t>
        </is>
      </c>
      <c r="D79">
        <f>K150</f>
        <v>126.35</v>
      </c>
      <c r="E79">
        <f>IF(OR(MID($A79,6,2)="11",MID($A79,6,2)="12"),IF(B79=1,$B$6,IF(B79=2,$B$7,$B$8)),0)+IF(OR(MID($A79,6,2)="11",MID($A79,6,2)="12"),IF(B79=1,$B$9,IF(B79=2,$B$10,$B$11)),0)+IF(OR(MID($A79,6,2)="11",MID($A79,6,2)="12"),IF(B79=1,$B$12,IF(B79=2,$B$13,$B$14)),0)+IF(OR(MID($A79,6,2)="11",MID($A79,6,2)="12"),IF(B79=1,$B$15,IF(B79=2,$B$16,$B$17)),0)</f>
        <v>0</v>
      </c>
      <c r="F79">
        <f>ROUND((IF(B79=1,$B$18,IF(B79=2,$B$19,$B$20)))*$B$21,2)</f>
        <v>31.5</v>
      </c>
      <c r="G79">
        <f>ROUND(F79,2)</f>
        <v>31.5</v>
      </c>
      <c r="H79">
        <f>ROUND(D79+E79+G79,2)</f>
        <v>157.85</v>
      </c>
    </row>
    <row r="80">
      <c r="A80" t="inlineStr">
        <is>
          <t>2027-07-01</t>
        </is>
      </c>
      <c r="B80">
        <v>2</v>
      </c>
      <c r="C80" t="inlineStr">
        <is>
          <t>phase_2_marketplace_activation</t>
        </is>
      </c>
      <c r="D80">
        <f>K151</f>
        <v>128.22</v>
      </c>
      <c r="E80">
        <f>IF(OR(MID($A80,6,2)="11",MID($A80,6,2)="12"),IF(B80=1,$B$6,IF(B80=2,$B$7,$B$8)),0)+IF(OR(MID($A80,6,2)="11",MID($A80,6,2)="12"),IF(B80=1,$B$9,IF(B80=2,$B$10,$B$11)),0)+IF(OR(MID($A80,6,2)="11",MID($A80,6,2)="12"),IF(B80=1,$B$12,IF(B80=2,$B$13,$B$14)),0)+IF(OR(MID($A80,6,2)="11",MID($A80,6,2)="12"),IF(B80=1,$B$15,IF(B80=2,$B$16,$B$17)),0)</f>
        <v>0</v>
      </c>
      <c r="F80">
        <f>ROUND((IF(B80=1,$B$18,IF(B80=2,$B$19,$B$20)))*$B$21,2)</f>
        <v>31.5</v>
      </c>
      <c r="G80">
        <f>ROUND(F80,2)</f>
        <v>31.5</v>
      </c>
      <c r="H80">
        <f>ROUND(D80+E80+G80,2)</f>
        <v>159.72</v>
      </c>
    </row>
    <row r="81">
      <c r="A81" t="inlineStr">
        <is>
          <t>2027-08-01</t>
        </is>
      </c>
      <c r="B81">
        <v>2</v>
      </c>
      <c r="C81" t="inlineStr">
        <is>
          <t>phase_2_marketplace_activation</t>
        </is>
      </c>
      <c r="D81">
        <f>K152</f>
        <v>130.12</v>
      </c>
      <c r="E81">
        <f>IF(OR(MID($A81,6,2)="11",MID($A81,6,2)="12"),IF(B81=1,$B$6,IF(B81=2,$B$7,$B$8)),0)+IF(OR(MID($A81,6,2)="11",MID($A81,6,2)="12"),IF(B81=1,$B$9,IF(B81=2,$B$10,$B$11)),0)+IF(OR(MID($A81,6,2)="11",MID($A81,6,2)="12"),IF(B81=1,$B$12,IF(B81=2,$B$13,$B$14)),0)+IF(OR(MID($A81,6,2)="11",MID($A81,6,2)="12"),IF(B81=1,$B$15,IF(B81=2,$B$16,$B$17)),0)</f>
        <v>0</v>
      </c>
      <c r="F81">
        <f>ROUND((IF(B81=1,$B$18,IF(B81=2,$B$19,$B$20)))*$B$21,2)</f>
        <v>31.5</v>
      </c>
      <c r="G81">
        <f>ROUND(F81,2)</f>
        <v>31.5</v>
      </c>
      <c r="H81">
        <f>ROUND(D81+E81+G81,2)</f>
        <v>161.62</v>
      </c>
    </row>
    <row r="82">
      <c r="A82" t="inlineStr">
        <is>
          <t>2027-09-01</t>
        </is>
      </c>
      <c r="B82">
        <v>2</v>
      </c>
      <c r="C82" t="inlineStr">
        <is>
          <t>phase_2_marketplace_activation</t>
        </is>
      </c>
      <c r="D82">
        <f>K153</f>
        <v>132.1</v>
      </c>
      <c r="E82">
        <f>IF(OR(MID($A82,6,2)="11",MID($A82,6,2)="12"),IF(B82=1,$B$6,IF(B82=2,$B$7,$B$8)),0)+IF(OR(MID($A82,6,2)="11",MID($A82,6,2)="12"),IF(B82=1,$B$9,IF(B82=2,$B$10,$B$11)),0)+IF(OR(MID($A82,6,2)="11",MID($A82,6,2)="12"),IF(B82=1,$B$12,IF(B82=2,$B$13,$B$14)),0)+IF(OR(MID($A82,6,2)="11",MID($A82,6,2)="12"),IF(B82=1,$B$15,IF(B82=2,$B$16,$B$17)),0)</f>
        <v>0</v>
      </c>
      <c r="F82">
        <f>ROUND((IF(B82=1,$B$18,IF(B82=2,$B$19,$B$20)))*$B$21,2)</f>
        <v>31.5</v>
      </c>
      <c r="G82">
        <f>ROUND(F82,2)</f>
        <v>31.5</v>
      </c>
      <c r="H82">
        <f>ROUND(D82+E82+G82,2)</f>
        <v>163.6</v>
      </c>
    </row>
    <row r="83">
      <c r="A83" t="inlineStr">
        <is>
          <t>2027-10-01</t>
        </is>
      </c>
      <c r="B83">
        <v>2</v>
      </c>
      <c r="C83" t="inlineStr">
        <is>
          <t>phase_2_marketplace_activation</t>
        </is>
      </c>
      <c r="D83">
        <f>K154</f>
        <v>134.3</v>
      </c>
      <c r="E83">
        <f>IF(OR(MID($A83,6,2)="11",MID($A83,6,2)="12"),IF(B83=1,$B$6,IF(B83=2,$B$7,$B$8)),0)+IF(OR(MID($A83,6,2)="11",MID($A83,6,2)="12"),IF(B83=1,$B$9,IF(B83=2,$B$10,$B$11)),0)+IF(OR(MID($A83,6,2)="11",MID($A83,6,2)="12"),IF(B83=1,$B$12,IF(B83=2,$B$13,$B$14)),0)+IF(OR(MID($A83,6,2)="11",MID($A83,6,2)="12"),IF(B83=1,$B$15,IF(B83=2,$B$16,$B$17)),0)</f>
        <v>0</v>
      </c>
      <c r="F83">
        <f>ROUND((IF(B83=1,$B$18,IF(B83=2,$B$19,$B$20)))*$B$21,2)</f>
        <v>31.5</v>
      </c>
      <c r="G83">
        <f>ROUND(F83,2)</f>
        <v>31.5</v>
      </c>
      <c r="H83">
        <f>ROUND(D83+E83+G83,2)</f>
        <v>165.8</v>
      </c>
    </row>
    <row r="84">
      <c r="A84" t="inlineStr">
        <is>
          <t>2027-11-01</t>
        </is>
      </c>
      <c r="B84">
        <v>2</v>
      </c>
      <c r="C84" t="inlineStr">
        <is>
          <t>phase_2_marketplace_activation</t>
        </is>
      </c>
      <c r="D84">
        <f>K155</f>
        <v>137.74</v>
      </c>
      <c r="E84">
        <f>IF(OR(MID($A84,6,2)="11",MID($A84,6,2)="12"),IF(B84=1,$B$6,IF(B84=2,$B$7,$B$8)),0)+IF(OR(MID($A84,6,2)="11",MID($A84,6,2)="12"),IF(B84=1,$B$9,IF(B84=2,$B$10,$B$11)),0)+IF(OR(MID($A84,6,2)="11",MID($A84,6,2)="12"),IF(B84=1,$B$12,IF(B84=2,$B$13,$B$14)),0)+IF(OR(MID($A84,6,2)="11",MID($A84,6,2)="12"),IF(B84=1,$B$15,IF(B84=2,$B$16,$B$17)),0)</f>
        <v>5950</v>
      </c>
      <c r="F84">
        <f>ROUND((IF(B84=1,$B$18,IF(B84=2,$B$19,$B$20)))*$B$21,2)</f>
        <v>31.5</v>
      </c>
      <c r="G84">
        <f>ROUND(F84,2)</f>
        <v>31.5</v>
      </c>
      <c r="H84">
        <f>ROUND(D84+E84+G84,2)</f>
        <v>6119.24</v>
      </c>
    </row>
    <row r="85">
      <c r="A85" t="inlineStr">
        <is>
          <t>2027-12-01</t>
        </is>
      </c>
      <c r="B85">
        <v>2</v>
      </c>
      <c r="C85" t="inlineStr">
        <is>
          <t>phase_2_marketplace_activation</t>
        </is>
      </c>
      <c r="D85">
        <f>K156</f>
        <v>144.77</v>
      </c>
      <c r="E85">
        <f>IF(OR(MID($A85,6,2)="11",MID($A85,6,2)="12"),IF(B85=1,$B$6,IF(B85=2,$B$7,$B$8)),0)+IF(OR(MID($A85,6,2)="11",MID($A85,6,2)="12"),IF(B85=1,$B$9,IF(B85=2,$B$10,$B$11)),0)+IF(OR(MID($A85,6,2)="11",MID($A85,6,2)="12"),IF(B85=1,$B$12,IF(B85=2,$B$13,$B$14)),0)+IF(OR(MID($A85,6,2)="11",MID($A85,6,2)="12"),IF(B85=1,$B$15,IF(B85=2,$B$16,$B$17)),0)</f>
        <v>5950</v>
      </c>
      <c r="F85">
        <f>ROUND((IF(B85=1,$B$18,IF(B85=2,$B$19,$B$20)))*$B$21,2)</f>
        <v>31.5</v>
      </c>
      <c r="G85">
        <f>ROUND(F85,2)</f>
        <v>31.5</v>
      </c>
      <c r="H85">
        <f>ROUND(D85+E85+G85,2)</f>
        <v>6126.27</v>
      </c>
    </row>
    <row r="86">
      <c r="A86" t="inlineStr">
        <is>
          <t>2028-01-01</t>
        </is>
      </c>
      <c r="B86">
        <v>2</v>
      </c>
      <c r="C86" t="inlineStr">
        <is>
          <t>phase_2_marketplace_activation</t>
        </is>
      </c>
      <c r="D86">
        <f>K157</f>
        <v>146.3</v>
      </c>
      <c r="E86">
        <f>IF(OR(MID($A86,6,2)="11",MID($A86,6,2)="12"),IF(B86=1,$B$6,IF(B86=2,$B$7,$B$8)),0)+IF(OR(MID($A86,6,2)="11",MID($A86,6,2)="12"),IF(B86=1,$B$9,IF(B86=2,$B$10,$B$11)),0)+IF(OR(MID($A86,6,2)="11",MID($A86,6,2)="12"),IF(B86=1,$B$12,IF(B86=2,$B$13,$B$14)),0)+IF(OR(MID($A86,6,2)="11",MID($A86,6,2)="12"),IF(B86=1,$B$15,IF(B86=2,$B$16,$B$17)),0)</f>
        <v>0</v>
      </c>
      <c r="F86">
        <f>ROUND((IF(B86=1,$B$18,IF(B86=2,$B$19,$B$20)))*$B$21,2)</f>
        <v>31.5</v>
      </c>
      <c r="G86">
        <f>ROUND(F86,2)</f>
        <v>31.5</v>
      </c>
      <c r="H86">
        <f>ROUND(D86+E86+G86,2)</f>
        <v>177.8</v>
      </c>
    </row>
    <row r="87">
      <c r="A87" t="inlineStr">
        <is>
          <t>2028-02-01</t>
        </is>
      </c>
      <c r="B87">
        <v>2</v>
      </c>
      <c r="C87" t="inlineStr">
        <is>
          <t>phase_2_marketplace_activation</t>
        </is>
      </c>
      <c r="D87">
        <f>K158</f>
        <v>149.18</v>
      </c>
      <c r="E87">
        <f>IF(OR(MID($A87,6,2)="11",MID($A87,6,2)="12"),IF(B87=1,$B$6,IF(B87=2,$B$7,$B$8)),0)+IF(OR(MID($A87,6,2)="11",MID($A87,6,2)="12"),IF(B87=1,$B$9,IF(B87=2,$B$10,$B$11)),0)+IF(OR(MID($A87,6,2)="11",MID($A87,6,2)="12"),IF(B87=1,$B$12,IF(B87=2,$B$13,$B$14)),0)+IF(OR(MID($A87,6,2)="11",MID($A87,6,2)="12"),IF(B87=1,$B$15,IF(B87=2,$B$16,$B$17)),0)</f>
        <v>0</v>
      </c>
      <c r="F87">
        <f>ROUND((IF(B87=1,$B$18,IF(B87=2,$B$19,$B$20)))*$B$21,2)</f>
        <v>31.5</v>
      </c>
      <c r="G87">
        <f>ROUND(F87,2)</f>
        <v>31.5</v>
      </c>
      <c r="H87">
        <f>ROUND(D87+E87+G87,2)</f>
        <v>180.68</v>
      </c>
    </row>
    <row r="88">
      <c r="A88" t="inlineStr">
        <is>
          <t>2028-03-01</t>
        </is>
      </c>
      <c r="B88">
        <v>3</v>
      </c>
      <c r="C88" t="inlineStr">
        <is>
          <t>phase_3_projection</t>
        </is>
      </c>
      <c r="D88">
        <f>K159</f>
        <v>151.64</v>
      </c>
      <c r="E88">
        <f>IF(OR(MID($A88,6,2)="11",MID($A88,6,2)="12"),IF(B88=1,$B$6,IF(B88=2,$B$7,$B$8)),0)+IF(OR(MID($A88,6,2)="11",MID($A88,6,2)="12"),IF(B88=1,$B$9,IF(B88=2,$B$10,$B$11)),0)+IF(OR(MID($A88,6,2)="11",MID($A88,6,2)="12"),IF(B88=1,$B$12,IF(B88=2,$B$13,$B$14)),0)+IF(OR(MID($A88,6,2)="11",MID($A88,6,2)="12"),IF(B88=1,$B$15,IF(B88=2,$B$16,$B$17)),0)</f>
        <v>0</v>
      </c>
      <c r="F88">
        <f>ROUND((IF(B88=1,$B$18,IF(B88=2,$B$19,$B$20)))*$B$21,2)</f>
        <v>47.25</v>
      </c>
      <c r="G88">
        <f>ROUND(F88,2)</f>
        <v>47.25</v>
      </c>
      <c r="H88">
        <f>ROUND(D88+E88+G88,2)</f>
        <v>198.89</v>
      </c>
    </row>
    <row r="89">
      <c r="A89" t="inlineStr">
        <is>
          <t>2028-04-01</t>
        </is>
      </c>
      <c r="B89">
        <v>3</v>
      </c>
      <c r="C89" t="inlineStr">
        <is>
          <t>phase_3_projection</t>
        </is>
      </c>
      <c r="D89">
        <f>K160</f>
        <v>154.26</v>
      </c>
      <c r="E89">
        <f>IF(OR(MID($A89,6,2)="11",MID($A89,6,2)="12"),IF(B89=1,$B$6,IF(B89=2,$B$7,$B$8)),0)+IF(OR(MID($A89,6,2)="11",MID($A89,6,2)="12"),IF(B89=1,$B$9,IF(B89=2,$B$10,$B$11)),0)+IF(OR(MID($A89,6,2)="11",MID($A89,6,2)="12"),IF(B89=1,$B$12,IF(B89=2,$B$13,$B$14)),0)+IF(OR(MID($A89,6,2)="11",MID($A89,6,2)="12"),IF(B89=1,$B$15,IF(B89=2,$B$16,$B$17)),0)</f>
        <v>0</v>
      </c>
      <c r="F89">
        <f>ROUND((IF(B89=1,$B$18,IF(B89=2,$B$19,$B$20)))*$B$21,2)</f>
        <v>47.25</v>
      </c>
      <c r="G89">
        <f>ROUND(F89,2)</f>
        <v>47.25</v>
      </c>
      <c r="H89">
        <f>ROUND(D89+E89+G89,2)</f>
        <v>201.51</v>
      </c>
    </row>
    <row r="90">
      <c r="A90" t="inlineStr">
        <is>
          <t>2028-05-01</t>
        </is>
      </c>
      <c r="B90">
        <v>3</v>
      </c>
      <c r="C90" t="inlineStr">
        <is>
          <t>phase_3_projection</t>
        </is>
      </c>
      <c r="D90">
        <f>K161</f>
        <v>157.54</v>
      </c>
      <c r="E90">
        <f>IF(OR(MID($A90,6,2)="11",MID($A90,6,2)="12"),IF(B90=1,$B$6,IF(B90=2,$B$7,$B$8)),0)+IF(OR(MID($A90,6,2)="11",MID($A90,6,2)="12"),IF(B90=1,$B$9,IF(B90=2,$B$10,$B$11)),0)+IF(OR(MID($A90,6,2)="11",MID($A90,6,2)="12"),IF(B90=1,$B$12,IF(B90=2,$B$13,$B$14)),0)+IF(OR(MID($A90,6,2)="11",MID($A90,6,2)="12"),IF(B90=1,$B$15,IF(B90=2,$B$16,$B$17)),0)</f>
        <v>0</v>
      </c>
      <c r="F90">
        <f>ROUND((IF(B90=1,$B$18,IF(B90=2,$B$19,$B$20)))*$B$21,2)</f>
        <v>47.25</v>
      </c>
      <c r="G90">
        <f>ROUND(F90,2)</f>
        <v>47.25</v>
      </c>
      <c r="H90">
        <f>ROUND(D90+E90+G90,2)</f>
        <v>204.79</v>
      </c>
    </row>
    <row r="91">
      <c r="A91" t="inlineStr">
        <is>
          <t>2028-06-01</t>
        </is>
      </c>
      <c r="B91">
        <v>3</v>
      </c>
      <c r="C91" t="inlineStr">
        <is>
          <t>phase_3_projection</t>
        </is>
      </c>
      <c r="D91">
        <f>K162</f>
        <v>160.34</v>
      </c>
      <c r="E91">
        <f>IF(OR(MID($A91,6,2)="11",MID($A91,6,2)="12"),IF(B91=1,$B$6,IF(B91=2,$B$7,$B$8)),0)+IF(OR(MID($A91,6,2)="11",MID($A91,6,2)="12"),IF(B91=1,$B$9,IF(B91=2,$B$10,$B$11)),0)+IF(OR(MID($A91,6,2)="11",MID($A91,6,2)="12"),IF(B91=1,$B$12,IF(B91=2,$B$13,$B$14)),0)+IF(OR(MID($A91,6,2)="11",MID($A91,6,2)="12"),IF(B91=1,$B$15,IF(B91=2,$B$16,$B$17)),0)</f>
        <v>0</v>
      </c>
      <c r="F91">
        <f>ROUND((IF(B91=1,$B$18,IF(B91=2,$B$19,$B$20)))*$B$21,2)</f>
        <v>47.25</v>
      </c>
      <c r="G91">
        <f>ROUND(F91,2)</f>
        <v>47.25</v>
      </c>
      <c r="H91">
        <f>ROUND(D91+E91+G91,2)</f>
        <v>207.59</v>
      </c>
    </row>
    <row r="92">
      <c r="A92" t="inlineStr">
        <is>
          <t>2028-07-01</t>
        </is>
      </c>
      <c r="B92">
        <v>3</v>
      </c>
      <c r="C92" t="inlineStr">
        <is>
          <t>phase_3_projection</t>
        </is>
      </c>
      <c r="D92">
        <f>K163</f>
        <v>163.31</v>
      </c>
      <c r="E92">
        <f>IF(OR(MID($A92,6,2)="11",MID($A92,6,2)="12"),IF(B92=1,$B$6,IF(B92=2,$B$7,$B$8)),0)+IF(OR(MID($A92,6,2)="11",MID($A92,6,2)="12"),IF(B92=1,$B$9,IF(B92=2,$B$10,$B$11)),0)+IF(OR(MID($A92,6,2)="11",MID($A92,6,2)="12"),IF(B92=1,$B$12,IF(B92=2,$B$13,$B$14)),0)+IF(OR(MID($A92,6,2)="11",MID($A92,6,2)="12"),IF(B92=1,$B$15,IF(B92=2,$B$16,$B$17)),0)</f>
        <v>0</v>
      </c>
      <c r="F92">
        <f>ROUND((IF(B92=1,$B$18,IF(B92=2,$B$19,$B$20)))*$B$21,2)</f>
        <v>47.25</v>
      </c>
      <c r="G92">
        <f>ROUND(F92,2)</f>
        <v>47.25</v>
      </c>
      <c r="H92">
        <f>ROUND(D92+E92+G92,2)</f>
        <v>210.56</v>
      </c>
    </row>
    <row r="93">
      <c r="A93" t="inlineStr">
        <is>
          <t>2028-08-01</t>
        </is>
      </c>
      <c r="B93">
        <v>3</v>
      </c>
      <c r="C93" t="inlineStr">
        <is>
          <t>phase_3_projection</t>
        </is>
      </c>
      <c r="D93">
        <f>K164</f>
        <v>166.36</v>
      </c>
      <c r="E93">
        <f>IF(OR(MID($A93,6,2)="11",MID($A93,6,2)="12"),IF(B93=1,$B$6,IF(B93=2,$B$7,$B$8)),0)+IF(OR(MID($A93,6,2)="11",MID($A93,6,2)="12"),IF(B93=1,$B$9,IF(B93=2,$B$10,$B$11)),0)+IF(OR(MID($A93,6,2)="11",MID($A93,6,2)="12"),IF(B93=1,$B$12,IF(B93=2,$B$13,$B$14)),0)+IF(OR(MID($A93,6,2)="11",MID($A93,6,2)="12"),IF(B93=1,$B$15,IF(B93=2,$B$16,$B$17)),0)</f>
        <v>0</v>
      </c>
      <c r="F93">
        <f>ROUND((IF(B93=1,$B$18,IF(B93=2,$B$19,$B$20)))*$B$21,2)</f>
        <v>47.25</v>
      </c>
      <c r="G93">
        <f>ROUND(F93,2)</f>
        <v>47.25</v>
      </c>
      <c r="H93">
        <f>ROUND(D93+E93+G93,2)</f>
        <v>213.61</v>
      </c>
    </row>
    <row r="94">
      <c r="A94" t="inlineStr">
        <is>
          <t>2028-09-01</t>
        </is>
      </c>
      <c r="B94">
        <v>3</v>
      </c>
      <c r="C94" t="inlineStr">
        <is>
          <t>phase_3_projection</t>
        </is>
      </c>
      <c r="D94">
        <f>K165</f>
        <v>169.33</v>
      </c>
      <c r="E94">
        <f>IF(OR(MID($A94,6,2)="11",MID($A94,6,2)="12"),IF(B94=1,$B$6,IF(B94=2,$B$7,$B$8)),0)+IF(OR(MID($A94,6,2)="11",MID($A94,6,2)="12"),IF(B94=1,$B$9,IF(B94=2,$B$10,$B$11)),0)+IF(OR(MID($A94,6,2)="11",MID($A94,6,2)="12"),IF(B94=1,$B$12,IF(B94=2,$B$13,$B$14)),0)+IF(OR(MID($A94,6,2)="11",MID($A94,6,2)="12"),IF(B94=1,$B$15,IF(B94=2,$B$16,$B$17)),0)</f>
        <v>0</v>
      </c>
      <c r="F94">
        <f>ROUND((IF(B94=1,$B$18,IF(B94=2,$B$19,$B$20)))*$B$21,2)</f>
        <v>47.25</v>
      </c>
      <c r="G94">
        <f>ROUND(F94,2)</f>
        <v>47.25</v>
      </c>
      <c r="H94">
        <f>ROUND(D94+E94+G94,2)</f>
        <v>216.58</v>
      </c>
    </row>
    <row r="95">
      <c r="A95" t="inlineStr">
        <is>
          <t>2028-10-01</t>
        </is>
      </c>
      <c r="B95">
        <v>3</v>
      </c>
      <c r="C95" t="inlineStr">
        <is>
          <t>phase_3_projection</t>
        </is>
      </c>
      <c r="D95">
        <f>K166</f>
        <v>172.64</v>
      </c>
      <c r="E95">
        <f>IF(OR(MID($A95,6,2)="11",MID($A95,6,2)="12"),IF(B95=1,$B$6,IF(B95=2,$B$7,$B$8)),0)+IF(OR(MID($A95,6,2)="11",MID($A95,6,2)="12"),IF(B95=1,$B$9,IF(B95=2,$B$10,$B$11)),0)+IF(OR(MID($A95,6,2)="11",MID($A95,6,2)="12"),IF(B95=1,$B$12,IF(B95=2,$B$13,$B$14)),0)+IF(OR(MID($A95,6,2)="11",MID($A95,6,2)="12"),IF(B95=1,$B$15,IF(B95=2,$B$16,$B$17)),0)</f>
        <v>0</v>
      </c>
      <c r="F95">
        <f>ROUND((IF(B95=1,$B$18,IF(B95=2,$B$19,$B$20)))*$B$21,2)</f>
        <v>47.25</v>
      </c>
      <c r="G95">
        <f>ROUND(F95,2)</f>
        <v>47.25</v>
      </c>
      <c r="H95">
        <f>ROUND(D95+E95+G95,2)</f>
        <v>219.89</v>
      </c>
    </row>
    <row r="96">
      <c r="A96" t="inlineStr">
        <is>
          <t>2028-11-01</t>
        </is>
      </c>
      <c r="B96">
        <v>3</v>
      </c>
      <c r="C96" t="inlineStr">
        <is>
          <t>phase_3_projection</t>
        </is>
      </c>
      <c r="D96">
        <f>K167</f>
        <v>177.91</v>
      </c>
      <c r="E96">
        <f>IF(OR(MID($A96,6,2)="11",MID($A96,6,2)="12"),IF(B96=1,$B$6,IF(B96=2,$B$7,$B$8)),0)+IF(OR(MID($A96,6,2)="11",MID($A96,6,2)="12"),IF(B96=1,$B$9,IF(B96=2,$B$10,$B$11)),0)+IF(OR(MID($A96,6,2)="11",MID($A96,6,2)="12"),IF(B96=1,$B$12,IF(B96=2,$B$13,$B$14)),0)+IF(OR(MID($A96,6,2)="11",MID($A96,6,2)="12"),IF(B96=1,$B$15,IF(B96=2,$B$16,$B$17)),0)</f>
        <v>8000</v>
      </c>
      <c r="F96">
        <f>ROUND((IF(B96=1,$B$18,IF(B96=2,$B$19,$B$20)))*$B$21,2)</f>
        <v>47.25</v>
      </c>
      <c r="G96">
        <f>ROUND(F96,2)</f>
        <v>47.25</v>
      </c>
      <c r="H96">
        <f>ROUND(D96+E96+G96,2)</f>
        <v>8225.16</v>
      </c>
    </row>
    <row r="97">
      <c r="A97" t="inlineStr">
        <is>
          <t>2028-12-01</t>
        </is>
      </c>
      <c r="B97">
        <v>3</v>
      </c>
      <c r="C97" t="inlineStr">
        <is>
          <t>phase_3_projection</t>
        </is>
      </c>
      <c r="D97">
        <f>K168</f>
        <v>188.02</v>
      </c>
      <c r="E97">
        <f>IF(OR(MID($A97,6,2)="11",MID($A97,6,2)="12"),IF(B97=1,$B$6,IF(B97=2,$B$7,$B$8)),0)+IF(OR(MID($A97,6,2)="11",MID($A97,6,2)="12"),IF(B97=1,$B$9,IF(B97=2,$B$10,$B$11)),0)+IF(OR(MID($A97,6,2)="11",MID($A97,6,2)="12"),IF(B97=1,$B$12,IF(B97=2,$B$13,$B$14)),0)+IF(OR(MID($A97,6,2)="11",MID($A97,6,2)="12"),IF(B97=1,$B$15,IF(B97=2,$B$16,$B$17)),0)</f>
        <v>8000</v>
      </c>
      <c r="F97">
        <f>ROUND((IF(B97=1,$B$18,IF(B97=2,$B$19,$B$20)))*$B$21,2)</f>
        <v>47.25</v>
      </c>
      <c r="G97">
        <f>ROUND(F97,2)</f>
        <v>47.25</v>
      </c>
      <c r="H97">
        <f>ROUND(D97+E97+G97,2)</f>
        <v>8235.27</v>
      </c>
    </row>
    <row r="98">
      <c r="A98" t="inlineStr">
        <is>
          <t>2029-01-01</t>
        </is>
      </c>
      <c r="B98">
        <v>3</v>
      </c>
      <c r="C98" t="inlineStr">
        <is>
          <t>phase_3_projection</t>
        </is>
      </c>
      <c r="D98">
        <f>K169</f>
        <v>190.25</v>
      </c>
      <c r="E98">
        <f>IF(OR(MID($A98,6,2)="11",MID($A98,6,2)="12"),IF(B98=1,$B$6,IF(B98=2,$B$7,$B$8)),0)+IF(OR(MID($A98,6,2)="11",MID($A98,6,2)="12"),IF(B98=1,$B$9,IF(B98=2,$B$10,$B$11)),0)+IF(OR(MID($A98,6,2)="11",MID($A98,6,2)="12"),IF(B98=1,$B$12,IF(B98=2,$B$13,$B$14)),0)+IF(OR(MID($A98,6,2)="11",MID($A98,6,2)="12"),IF(B98=1,$B$15,IF(B98=2,$B$16,$B$17)),0)</f>
        <v>0</v>
      </c>
      <c r="F98">
        <f>ROUND((IF(B98=1,$B$18,IF(B98=2,$B$19,$B$20)))*$B$21,2)</f>
        <v>47.25</v>
      </c>
      <c r="G98">
        <f>ROUND(F98,2)</f>
        <v>47.25</v>
      </c>
      <c r="H98">
        <f>ROUND(D98+E98+G98,2)</f>
        <v>237.5</v>
      </c>
    </row>
    <row r="99">
      <c r="A99" t="inlineStr">
        <is>
          <t>2029-02-01</t>
        </is>
      </c>
      <c r="B99">
        <v>3</v>
      </c>
      <c r="C99" t="inlineStr">
        <is>
          <t>phase_3_projection</t>
        </is>
      </c>
      <c r="D99">
        <f>K170</f>
        <v>194.44</v>
      </c>
      <c r="E99">
        <f>IF(OR(MID($A99,6,2)="11",MID($A99,6,2)="12"),IF(B99=1,$B$6,IF(B99=2,$B$7,$B$8)),0)+IF(OR(MID($A99,6,2)="11",MID($A99,6,2)="12"),IF(B99=1,$B$9,IF(B99=2,$B$10,$B$11)),0)+IF(OR(MID($A99,6,2)="11",MID($A99,6,2)="12"),IF(B99=1,$B$12,IF(B99=2,$B$13,$B$14)),0)+IF(OR(MID($A99,6,2)="11",MID($A99,6,2)="12"),IF(B99=1,$B$15,IF(B99=2,$B$16,$B$17)),0)</f>
        <v>0</v>
      </c>
      <c r="F99">
        <f>ROUND((IF(B99=1,$B$18,IF(B99=2,$B$19,$B$20)))*$B$21,2)</f>
        <v>47.25</v>
      </c>
      <c r="G99">
        <f>ROUND(F99,2)</f>
        <v>47.25</v>
      </c>
      <c r="H99">
        <f>ROUND(D99+E99+G99,2)</f>
        <v>241.69</v>
      </c>
    </row>
    <row r="100">
      <c r="A100" t="inlineStr">
        <is>
          <t/>
        </is>
      </c>
      <c r="B100" t="inlineStr">
        <is>
          <t/>
        </is>
      </c>
      <c r="C100" t="inlineStr">
        <is>
          <t/>
        </is>
      </c>
      <c r="D100" t="inlineStr">
        <is>
          <t/>
        </is>
      </c>
      <c r="E100" t="inlineStr">
        <is>
          <t/>
        </is>
      </c>
      <c r="F100" t="inlineStr">
        <is>
          <t/>
        </is>
      </c>
      <c r="G100" t="inlineStr">
        <is>
          <t/>
        </is>
      </c>
      <c r="H100" t="inlineStr">
        <is>
          <t/>
        </is>
      </c>
    </row>
    <row r="101">
      <c r="A101" t="inlineStr">
        <is>
          <t>[Cloud Cost Assumptions]</t>
        </is>
      </c>
      <c r="B101" t="inlineStr">
        <is>
          <t/>
        </is>
      </c>
      <c r="C101" t="inlineStr">
        <is>
          <t>Inputs used by the lower expense-detail and cloud-cost tables. The cloud-cost breakdown is implementation detail and is not needed in finance reports.</t>
        </is>
      </c>
    </row>
    <row r="102">
      <c r="A102" t="inlineStr">
        <is>
          <t>name</t>
        </is>
      </c>
      <c r="B102" t="inlineStr">
        <is>
          <t>value</t>
        </is>
      </c>
      <c r="C102" t="inlineStr">
        <is>
          <t>details</t>
        </is>
      </c>
    </row>
    <row r="103">
      <c r="A103" t="inlineStr">
        <is>
          <t>r2_storage_start_gb</t>
        </is>
      </c>
      <c r="B103">
        <v>100</v>
      </c>
      <c r="C103" t="inlineStr">
        <is>
          <t>Opening R2 storage footprint in GB.</t>
        </is>
      </c>
    </row>
    <row r="104">
      <c r="A104" t="inlineStr">
        <is>
          <t>r2_storage_target_end_gb</t>
        </is>
      </c>
      <c r="B104">
        <v>5000</v>
      </c>
      <c r="C104" t="inlineStr">
        <is>
          <t>Target R2 storage footprint by the end of the model in GB.</t>
        </is>
      </c>
    </row>
    <row r="105">
      <c r="A105" t="inlineStr">
        <is>
          <t>r2_storage_price_per_gb_month</t>
        </is>
      </c>
      <c r="B105">
        <v>0.015</v>
      </c>
      <c r="C105" t="inlineStr">
        <is>
          <t>Cloudflare R2 storage price in USD per GB-month.</t>
        </is>
      </c>
    </row>
    <row r="106">
      <c r="A106" t="inlineStr">
        <is>
          <t>r2_storage_free_gb</t>
        </is>
      </c>
      <c r="B106">
        <v>10</v>
      </c>
      <c r="C106" t="inlineStr">
        <is>
          <t>Free R2 storage included each month in GB.</t>
        </is>
      </c>
    </row>
    <row r="107">
      <c r="A107" t="inlineStr">
        <is>
          <t>r2_class_a_ops_per_new_user</t>
        </is>
      </c>
      <c r="B107">
        <v>20</v>
      </c>
      <c r="C107" t="inlineStr">
        <is>
          <t>Estimated write/list operations generated by each new user.</t>
        </is>
      </c>
    </row>
    <row r="108">
      <c r="A108" t="inlineStr">
        <is>
          <t>r2_class_a_price_per_million</t>
        </is>
      </c>
      <c r="B108">
        <v>4.5</v>
      </c>
      <c r="C108" t="inlineStr">
        <is>
          <t>Cloudflare R2 Class A request price in USD per million operations.</t>
        </is>
      </c>
    </row>
    <row r="109">
      <c r="A109" t="inlineStr">
        <is>
          <t>r2_class_b_ops_per_pageview</t>
        </is>
      </c>
      <c r="B109">
        <v>6</v>
      </c>
      <c r="C109" t="inlineStr">
        <is>
          <t>Estimated read/get operations generated by each pageview.</t>
        </is>
      </c>
    </row>
    <row r="110">
      <c r="A110" t="inlineStr">
        <is>
          <t>r2_class_b_price_per_million</t>
        </is>
      </c>
      <c r="B110">
        <v>0.36</v>
      </c>
      <c r="C110" t="inlineStr">
        <is>
          <t>Cloudflare R2 Class B request price in USD per million operations.</t>
        </is>
      </c>
    </row>
    <row r="111">
      <c r="A111" t="inlineStr">
        <is>
          <t>postgres_base_plan_monthly_usd</t>
        </is>
      </c>
      <c r="B111">
        <v>25</v>
      </c>
      <c r="C111" t="inlineStr">
        <is>
          <t>Managed Postgres platform plan cost in USD per month.</t>
        </is>
      </c>
    </row>
    <row r="112">
      <c r="A112" t="inlineStr">
        <is>
          <t>postgres_micro_compute_monthly_usd</t>
        </is>
      </c>
      <c r="B112">
        <v>10</v>
      </c>
      <c r="C112" t="inlineStr">
        <is>
          <t>Managed Postgres micro compute cost in USD per month.</t>
        </is>
      </c>
    </row>
    <row r="113">
      <c r="A113" t="inlineStr">
        <is>
          <t>postgres_small_compute_monthly_usd</t>
        </is>
      </c>
      <c r="B113">
        <v>15</v>
      </c>
      <c r="C113" t="inlineStr">
        <is>
          <t>Managed Postgres small compute cost in USD per month.</t>
        </is>
      </c>
    </row>
    <row r="114">
      <c r="A114" t="inlineStr">
        <is>
          <t>postgres_medium_compute_monthly_usd</t>
        </is>
      </c>
      <c r="B114">
        <v>60</v>
      </c>
      <c r="C114" t="inlineStr">
        <is>
          <t>Managed Postgres medium compute cost in USD per month.</t>
        </is>
      </c>
    </row>
    <row r="115">
      <c r="A115" t="inlineStr">
        <is>
          <t>postgres_small_mau_threshold</t>
        </is>
      </c>
      <c r="B115">
        <v>25000</v>
      </c>
      <c r="C115" t="inlineStr">
        <is>
          <t>MAU threshold for scaling Postgres from micro to small compute.</t>
        </is>
      </c>
    </row>
    <row r="116">
      <c r="A116" t="inlineStr">
        <is>
          <t>postgres_medium_mau_threshold</t>
        </is>
      </c>
      <c r="B116">
        <v>100000</v>
      </c>
      <c r="C116" t="inlineStr">
        <is>
          <t>MAU threshold for scaling Postgres from small to medium compute.</t>
        </is>
      </c>
    </row>
    <row r="117">
      <c r="A117" t="inlineStr">
        <is>
          <t>postgres_read_replica_mau_threshold</t>
        </is>
      </c>
      <c r="B117">
        <v>150000</v>
      </c>
      <c r="C117" t="inlineStr">
        <is>
          <t>MAU threshold for enabling one read-only replica. Defaults high enough that no replica is used in the current scenario.</t>
        </is>
      </c>
    </row>
    <row r="118">
      <c r="A118" t="inlineStr">
        <is>
          <t>postgres_disk_base_gb</t>
        </is>
      </c>
      <c r="B118">
        <v>8</v>
      </c>
      <c r="C118" t="inlineStr">
        <is>
          <t>Included Postgres disk before overage pricing in GB.</t>
        </is>
      </c>
    </row>
    <row r="119">
      <c r="A119" t="inlineStr">
        <is>
          <t>postgres_disk_gb_per_1000_cumulative_new_users</t>
        </is>
      </c>
      <c r="B119">
        <v>1</v>
      </c>
      <c r="C119" t="inlineStr">
        <is>
          <t>Estimated Postgres disk growth per 1,000 cumulative new users in GB.</t>
        </is>
      </c>
    </row>
    <row r="120">
      <c r="A120" t="inlineStr">
        <is>
          <t>postgres_disk_price_per_gb_month</t>
        </is>
      </c>
      <c r="B120">
        <v>0.125</v>
      </c>
      <c r="C120" t="inlineStr">
        <is>
          <t>Managed Postgres disk overage price in USD per GB-month.</t>
        </is>
      </c>
    </row>
    <row r="121">
      <c r="A121" t="inlineStr">
        <is>
          <t>cloudflare_pages_monthly_usd</t>
        </is>
      </c>
      <c r="B121">
        <v>0</v>
      </c>
      <c r="C121" t="inlineStr">
        <is>
          <t>Monthly Cloudflare Pages hosting cost in USD.</t>
        </is>
      </c>
    </row>
    <row r="122">
      <c r="A122" t="inlineStr">
        <is>
          <t>workers_base_monthly_usd</t>
        </is>
      </c>
      <c r="B122">
        <v>5</v>
      </c>
      <c r="C122" t="inlineStr">
        <is>
          <t>Base Cloudflare Workers paid-plan cost in USD per month.</t>
        </is>
      </c>
    </row>
    <row r="123">
      <c r="A123" t="inlineStr">
        <is>
          <t>workers_included_requests_millions</t>
        </is>
      </c>
      <c r="B123">
        <v>10</v>
      </c>
      <c r="C123" t="inlineStr">
        <is>
          <t>Workers request allowance included each month in millions.</t>
        </is>
      </c>
    </row>
    <row r="124">
      <c r="A124" t="inlineStr">
        <is>
          <t>workers_request_price_per_million</t>
        </is>
      </c>
      <c r="B124">
        <v>0.3</v>
      </c>
      <c r="C124" t="inlineStr">
        <is>
          <t>Workers request overage price in USD per million requests.</t>
        </is>
      </c>
    </row>
    <row r="125">
      <c r="A125" t="inlineStr">
        <is>
          <t>workers_included_cpu_million_ms</t>
        </is>
      </c>
      <c r="B125">
        <v>30</v>
      </c>
      <c r="C125" t="inlineStr">
        <is>
          <t>Workers CPU allowance included each month in million milliseconds.</t>
        </is>
      </c>
    </row>
    <row r="126">
      <c r="A126" t="inlineStr">
        <is>
          <t>workers_cpu_price_per_million_ms</t>
        </is>
      </c>
      <c r="B126">
        <v>0.02</v>
      </c>
      <c r="C126" t="inlineStr">
        <is>
          <t>Workers CPU overage price in USD per million milliseconds.</t>
        </is>
      </c>
    </row>
    <row r="127">
      <c r="A127" t="inlineStr">
        <is>
          <t>workers_requests_per_pageview</t>
        </is>
      </c>
      <c r="B127">
        <v>0.35</v>
      </c>
      <c r="C127" t="inlineStr">
        <is>
          <t>Estimated backend requests generated by each pageview.</t>
        </is>
      </c>
    </row>
    <row r="128">
      <c r="A128" t="inlineStr">
        <is>
          <t>workers_requests_per_new_user</t>
        </is>
      </c>
      <c r="B128">
        <v>12</v>
      </c>
      <c r="C128" t="inlineStr">
        <is>
          <t>Estimated backend requests generated by each new user.</t>
        </is>
      </c>
    </row>
    <row r="129">
      <c r="A129" t="inlineStr">
        <is>
          <t>workers_avg_cpu_ms_per_request</t>
        </is>
      </c>
      <c r="B129">
        <v>15</v>
      </c>
      <c r="C129" t="inlineStr">
        <is>
          <t>Average CPU time consumed per backend request in milliseconds.</t>
        </is>
      </c>
    </row>
    <row r="130">
      <c r="A130" t="inlineStr">
        <is>
          <t>transactional_email_monthly_usd</t>
        </is>
      </c>
      <c r="B130">
        <v>30</v>
      </c>
      <c r="C130" t="inlineStr">
        <is>
          <t>Flat monthly transactional email SaaS cost in USD.</t>
        </is>
      </c>
    </row>
    <row r="131">
      <c r="A131" t="inlineStr">
        <is>
          <t>scraper_proxy_monthly_usd</t>
        </is>
      </c>
      <c r="B131">
        <v>35</v>
      </c>
      <c r="C131" t="inlineStr">
        <is>
          <t>Monthly static residential/ISP proxy budget in USD.</t>
        </is>
      </c>
    </row>
    <row r="132">
      <c r="A132" t="inlineStr">
        <is>
          <t/>
        </is>
      </c>
      <c r="B132" t="inlineStr">
        <is>
          <t/>
        </is>
      </c>
      <c r="C132" t="inlineStr">
        <is>
          <t/>
        </is>
      </c>
    </row>
    <row r="133">
      <c r="A133" t="inlineStr">
        <is>
          <t>[Cloud Cost Factors]</t>
        </is>
      </c>
      <c r="B133" t="inlineStr">
        <is>
          <t/>
        </is>
      </c>
      <c r="C133" t="inlineStr">
        <is>
          <t>Extra cloud-cost breakdown used for model transparency. It is implementation detail and is not needed in finance reports.</t>
        </is>
      </c>
    </row>
    <row r="134">
      <c r="A134" t="inlineStr">
        <is>
          <t>month</t>
        </is>
      </c>
      <c r="B134" t="inlineStr">
        <is>
          <t>year_index</t>
        </is>
      </c>
      <c r="C134" t="inlineStr">
        <is>
          <t>phase</t>
        </is>
      </c>
      <c r="D134" t="inlineStr">
        <is>
          <t>object_storage_costs</t>
        </is>
      </c>
      <c r="E134" t="inlineStr">
        <is>
          <t>database_costs</t>
        </is>
      </c>
      <c r="F134" t="inlineStr">
        <is>
          <t>cloudflare_costs</t>
        </is>
      </c>
      <c r="G134" t="inlineStr">
        <is>
          <t>scraper_proxy_cost_usd</t>
        </is>
      </c>
      <c r="H134" t="inlineStr">
        <is>
          <t>transactional_email_cost_usd</t>
        </is>
      </c>
      <c r="I134" t="inlineStr">
        <is>
          <t>cloud_compute_costs</t>
        </is>
      </c>
      <c r="J134" t="inlineStr">
        <is>
          <t>cloud_storage_costs</t>
        </is>
      </c>
      <c r="K134" t="inlineStr">
        <is>
          <t>total_cloud_costs</t>
        </is>
      </c>
    </row>
    <row r="135">
      <c r="A135" t="inlineStr">
        <is>
          <t>2026-03-01</t>
        </is>
      </c>
      <c r="B135">
        <v>1</v>
      </c>
      <c r="C135" t="inlineStr">
        <is>
          <t>phase_1_user_growth</t>
        </is>
      </c>
      <c r="D135">
        <f>ROUND(MAX(0,($B$103+SUM('MAU &amp; Operating Metrics'!$D$19:'MAU &amp; Operating Metrics'!$D$19)*(($B$104-$B$103)/MAX(1,SUM('MAU &amp; Operating Metrics'!$D$19:'MAU &amp; Operating Metrics'!$D$54))))-$B$106)*$B$105+('MAU &amp; Operating Metrics'!$D$19*$B$107/1000000)*$B$108+('Advertising'!$G$13*$B$109/1000000)*$B$110,2)</f>
        <v>1.84</v>
      </c>
      <c r="E135">
        <f>ROUND(($B$111+IF('MAU &amp; Operating Metrics'!$F$19&gt;=$B$116,$B$114,IF('MAU &amp; Operating Metrics'!$F$19&gt;=$B$115,$B$113,$B$112)))+MAX(0,($B$118+SUM('MAU &amp; Operating Metrics'!$D$19:'MAU &amp; Operating Metrics'!$D$19)/1000*$B$119)-$B$118)*$B$120+IF('MAU &amp; Operating Metrics'!$F$19&gt;=$B$117,IF('MAU &amp; Operating Metrics'!$F$19&gt;=$B$116,$B$114,IF('MAU &amp; Operating Metrics'!$F$19&gt;=$B$115,$B$113,$B$112)),0),2)</f>
        <v>35.08</v>
      </c>
      <c r="F135">
        <f>ROUND($B$121+ROUND($B$122+MAX(0,(('Advertising'!$G$13*$B$127+'MAU &amp; Operating Metrics'!$D$19*$B$128)/1000000)-$B$123)*$B$124+MAX(0,(((('Advertising'!$G$13*$B$127+'MAU &amp; Operating Metrics'!$D$19*$B$128)/1000000)*$B$129)-$B$125))*$B$126,2),2)</f>
        <v>5</v>
      </c>
      <c r="G135">
        <f>$B$131</f>
        <v>35</v>
      </c>
      <c r="H135">
        <f>$B$130</f>
        <v>30</v>
      </c>
      <c r="I135">
        <f>ROUND(D135+E135+F135+G135+H135-J135,2)</f>
        <v>105.08</v>
      </c>
      <c r="J135">
        <f>ROUND(MAX(0,($B$103+SUM('MAU &amp; Operating Metrics'!$D$19:'MAU &amp; Operating Metrics'!$D$19)*(($B$104-$B$103)/MAX(1,SUM('MAU &amp; Operating Metrics'!$D$19:'MAU &amp; Operating Metrics'!$D$54))))-$B$106)*$B$105+MAX(0,($B$118+SUM('MAU &amp; Operating Metrics'!$D$19:'MAU &amp; Operating Metrics'!$D$19)/1000*$B$119)-$B$118)*$B$120,2)</f>
        <v>1.84</v>
      </c>
      <c r="K135">
        <f>ROUND(I135+J135,2)</f>
        <v>106.92</v>
      </c>
    </row>
    <row r="136">
      <c r="A136" t="inlineStr">
        <is>
          <t>2026-04-01</t>
        </is>
      </c>
      <c r="B136">
        <v>1</v>
      </c>
      <c r="C136" t="inlineStr">
        <is>
          <t>phase_1_user_growth</t>
        </is>
      </c>
      <c r="D136">
        <f>ROUND(MAX(0,($B$103+SUM('MAU &amp; Operating Metrics'!$D$19:'MAU &amp; Operating Metrics'!$D$20)*(($B$104-$B$103)/MAX(1,SUM('MAU &amp; Operating Metrics'!$D$19:'MAU &amp; Operating Metrics'!$D$54))))-$B$106)*$B$105+('MAU &amp; Operating Metrics'!$D$20*$B$107/1000000)*$B$108+('Advertising'!$G$14*$B$109/1000000)*$B$110,2)</f>
        <v>2.26</v>
      </c>
      <c r="E136">
        <f>ROUND(($B$111+IF('MAU &amp; Operating Metrics'!$F$20&gt;=$B$116,$B$114,IF('MAU &amp; Operating Metrics'!$F$20&gt;=$B$115,$B$113,$B$112)))+MAX(0,($B$118+SUM('MAU &amp; Operating Metrics'!$D$19:'MAU &amp; Operating Metrics'!$D$20)/1000*$B$119)-$B$118)*$B$120+IF('MAU &amp; Operating Metrics'!$F$20&gt;=$B$117,IF('MAU &amp; Operating Metrics'!$F$20&gt;=$B$116,$B$114,IF('MAU &amp; Operating Metrics'!$F$20&gt;=$B$115,$B$113,$B$112)),0),2)</f>
        <v>35.16</v>
      </c>
      <c r="F136">
        <f>ROUND($B$121+ROUND($B$122+MAX(0,(('Advertising'!$G$14*$B$127+'MAU &amp; Operating Metrics'!$D$20*$B$128)/1000000)-$B$123)*$B$124+MAX(0,(((('Advertising'!$G$14*$B$127+'MAU &amp; Operating Metrics'!$D$20*$B$128)/1000000)*$B$129)-$B$125))*$B$126,2),2)</f>
        <v>5</v>
      </c>
      <c r="G136">
        <f>$B$131</f>
        <v>35</v>
      </c>
      <c r="H136">
        <f>$B$130</f>
        <v>30</v>
      </c>
      <c r="I136">
        <f>ROUND(D136+E136+F136+G136+H136-J136,2)</f>
        <v>105.08</v>
      </c>
      <c r="J136">
        <f>ROUND(MAX(0,($B$103+SUM('MAU &amp; Operating Metrics'!$D$19:'MAU &amp; Operating Metrics'!$D$20)*(($B$104-$B$103)/MAX(1,SUM('MAU &amp; Operating Metrics'!$D$19:'MAU &amp; Operating Metrics'!$D$54))))-$B$106)*$B$105+MAX(0,($B$118+SUM('MAU &amp; Operating Metrics'!$D$19:'MAU &amp; Operating Metrics'!$D$20)/1000*$B$119)-$B$118)*$B$120,2)</f>
        <v>2.34</v>
      </c>
      <c r="K136">
        <f>ROUND(I136+J136,2)</f>
        <v>107.42</v>
      </c>
    </row>
    <row r="137">
      <c r="A137" t="inlineStr">
        <is>
          <t>2026-05-01</t>
        </is>
      </c>
      <c r="B137">
        <v>1</v>
      </c>
      <c r="C137" t="inlineStr">
        <is>
          <t>phase_1_user_growth</t>
        </is>
      </c>
      <c r="D137">
        <f>ROUND(MAX(0,($B$103+SUM('MAU &amp; Operating Metrics'!$D$19:'MAU &amp; Operating Metrics'!$D$21)*(($B$104-$B$103)/MAX(1,SUM('MAU &amp; Operating Metrics'!$D$19:'MAU &amp; Operating Metrics'!$D$54))))-$B$106)*$B$105+('MAU &amp; Operating Metrics'!$D$21*$B$107/1000000)*$B$108+('Advertising'!$G$15*$B$109/1000000)*$B$110,2)</f>
        <v>2.87</v>
      </c>
      <c r="E137">
        <f>ROUND(($B$111+IF('MAU &amp; Operating Metrics'!$F$21&gt;=$B$116,$B$114,IF('MAU &amp; Operating Metrics'!$F$21&gt;=$B$115,$B$113,$B$112)))+MAX(0,($B$118+SUM('MAU &amp; Operating Metrics'!$D$19:'MAU &amp; Operating Metrics'!$D$21)/1000*$B$119)-$B$118)*$B$120+IF('MAU &amp; Operating Metrics'!$F$21&gt;=$B$117,IF('MAU &amp; Operating Metrics'!$F$21&gt;=$B$116,$B$114,IF('MAU &amp; Operating Metrics'!$F$21&gt;=$B$115,$B$113,$B$112)),0),2)</f>
        <v>35.26</v>
      </c>
      <c r="F137">
        <f>ROUND($B$121+ROUND($B$122+MAX(0,(('Advertising'!$G$15*$B$127+'MAU &amp; Operating Metrics'!$D$21*$B$128)/1000000)-$B$123)*$B$124+MAX(0,(((('Advertising'!$G$15*$B$127+'MAU &amp; Operating Metrics'!$D$21*$B$128)/1000000)*$B$129)-$B$125))*$B$126,2),2)</f>
        <v>5</v>
      </c>
      <c r="G137">
        <f>$B$131</f>
        <v>35</v>
      </c>
      <c r="H137">
        <f>$B$130</f>
        <v>30</v>
      </c>
      <c r="I137">
        <f>ROUND(D137+E137+F137+G137+H137-J137,2)</f>
        <v>105.11</v>
      </c>
      <c r="J137">
        <f>ROUND(MAX(0,($B$103+SUM('MAU &amp; Operating Metrics'!$D$19:'MAU &amp; Operating Metrics'!$D$21)*(($B$104-$B$103)/MAX(1,SUM('MAU &amp; Operating Metrics'!$D$19:'MAU &amp; Operating Metrics'!$D$54))))-$B$106)*$B$105+MAX(0,($B$118+SUM('MAU &amp; Operating Metrics'!$D$19:'MAU &amp; Operating Metrics'!$D$21)/1000*$B$119)-$B$118)*$B$120,2)</f>
        <v>3.02</v>
      </c>
      <c r="K137">
        <f>ROUND(I137+J137,2)</f>
        <v>108.13</v>
      </c>
    </row>
    <row r="138">
      <c r="A138" t="inlineStr">
        <is>
          <t>2026-06-01</t>
        </is>
      </c>
      <c r="B138">
        <v>1</v>
      </c>
      <c r="C138" t="inlineStr">
        <is>
          <t>phase_1_user_growth</t>
        </is>
      </c>
      <c r="D138">
        <f>ROUND(MAX(0,($B$103+SUM('MAU &amp; Operating Metrics'!$D$19:'MAU &amp; Operating Metrics'!$D$22)*(($B$104-$B$103)/MAX(1,SUM('MAU &amp; Operating Metrics'!$D$19:'MAU &amp; Operating Metrics'!$D$54))))-$B$106)*$B$105+('MAU &amp; Operating Metrics'!$D$22*$B$107/1000000)*$B$108+('Advertising'!$G$16*$B$109/1000000)*$B$110,2)</f>
        <v>3.44</v>
      </c>
      <c r="E138">
        <f>ROUND(($B$111+IF('MAU &amp; Operating Metrics'!$F$22&gt;=$B$116,$B$114,IF('MAU &amp; Operating Metrics'!$F$22&gt;=$B$115,$B$113,$B$112)))+MAX(0,($B$118+SUM('MAU &amp; Operating Metrics'!$D$19:'MAU &amp; Operating Metrics'!$D$22)/1000*$B$119)-$B$118)*$B$120+IF('MAU &amp; Operating Metrics'!$F$22&gt;=$B$117,IF('MAU &amp; Operating Metrics'!$F$22&gt;=$B$116,$B$114,IF('MAU &amp; Operating Metrics'!$F$22&gt;=$B$115,$B$113,$B$112)),0),2)</f>
        <v>35.37</v>
      </c>
      <c r="F138">
        <f>ROUND($B$121+ROUND($B$122+MAX(0,(('Advertising'!$G$16*$B$127+'MAU &amp; Operating Metrics'!$D$22*$B$128)/1000000)-$B$123)*$B$124+MAX(0,(((('Advertising'!$G$16*$B$127+'MAU &amp; Operating Metrics'!$D$22*$B$128)/1000000)*$B$129)-$B$125))*$B$126,2),2)</f>
        <v>5</v>
      </c>
      <c r="G138">
        <f>$B$131</f>
        <v>35</v>
      </c>
      <c r="H138">
        <f>$B$130</f>
        <v>30</v>
      </c>
      <c r="I138">
        <f>ROUND(D138+E138+F138+G138+H138-J138,2)</f>
        <v>105.11</v>
      </c>
      <c r="J138">
        <f>ROUND(MAX(0,($B$103+SUM('MAU &amp; Operating Metrics'!$D$19:'MAU &amp; Operating Metrics'!$D$22)*(($B$104-$B$103)/MAX(1,SUM('MAU &amp; Operating Metrics'!$D$19:'MAU &amp; Operating Metrics'!$D$54))))-$B$106)*$B$105+MAX(0,($B$118+SUM('MAU &amp; Operating Metrics'!$D$19:'MAU &amp; Operating Metrics'!$D$22)/1000*$B$119)-$B$118)*$B$120,2)</f>
        <v>3.7</v>
      </c>
      <c r="K138">
        <f>ROUND(I138+J138,2)</f>
        <v>108.81</v>
      </c>
    </row>
    <row r="139">
      <c r="A139" t="inlineStr">
        <is>
          <t>2026-07-01</t>
        </is>
      </c>
      <c r="B139">
        <v>1</v>
      </c>
      <c r="C139" t="inlineStr">
        <is>
          <t>phase_1_user_growth</t>
        </is>
      </c>
      <c r="D139">
        <f>ROUND(MAX(0,($B$103+SUM('MAU &amp; Operating Metrics'!$D$19:'MAU &amp; Operating Metrics'!$D$23)*(($B$104-$B$103)/MAX(1,SUM('MAU &amp; Operating Metrics'!$D$19:'MAU &amp; Operating Metrics'!$D$54))))-$B$106)*$B$105+('MAU &amp; Operating Metrics'!$D$23*$B$107/1000000)*$B$108+('Advertising'!$G$17*$B$109/1000000)*$B$110,2)</f>
        <v>4.06</v>
      </c>
      <c r="E139">
        <f>ROUND(($B$111+IF('MAU &amp; Operating Metrics'!$F$23&gt;=$B$116,$B$114,IF('MAU &amp; Operating Metrics'!$F$23&gt;=$B$115,$B$113,$B$112)))+MAX(0,($B$118+SUM('MAU &amp; Operating Metrics'!$D$19:'MAU &amp; Operating Metrics'!$D$23)/1000*$B$119)-$B$118)*$B$120+IF('MAU &amp; Operating Metrics'!$F$23&gt;=$B$117,IF('MAU &amp; Operating Metrics'!$F$23&gt;=$B$116,$B$114,IF('MAU &amp; Operating Metrics'!$F$23&gt;=$B$115,$B$113,$B$112)),0),2)</f>
        <v>35.48</v>
      </c>
      <c r="F139">
        <f>ROUND($B$121+ROUND($B$122+MAX(0,(('Advertising'!$G$17*$B$127+'MAU &amp; Operating Metrics'!$D$23*$B$128)/1000000)-$B$123)*$B$124+MAX(0,(((('Advertising'!$G$17*$B$127+'MAU &amp; Operating Metrics'!$D$23*$B$128)/1000000)*$B$129)-$B$125))*$B$126,2),2)</f>
        <v>5</v>
      </c>
      <c r="G139">
        <f>$B$131</f>
        <v>35</v>
      </c>
      <c r="H139">
        <f>$B$130</f>
        <v>30</v>
      </c>
      <c r="I139">
        <f>ROUND(D139+E139+F139+G139+H139-J139,2)</f>
        <v>105.12</v>
      </c>
      <c r="J139">
        <f>ROUND(MAX(0,($B$103+SUM('MAU &amp; Operating Metrics'!$D$19:'MAU &amp; Operating Metrics'!$D$23)*(($B$104-$B$103)/MAX(1,SUM('MAU &amp; Operating Metrics'!$D$19:'MAU &amp; Operating Metrics'!$D$54))))-$B$106)*$B$105+MAX(0,($B$118+SUM('MAU &amp; Operating Metrics'!$D$19:'MAU &amp; Operating Metrics'!$D$23)/1000*$B$119)-$B$118)*$B$120,2)</f>
        <v>4.42</v>
      </c>
      <c r="K139">
        <f>ROUND(I139+J139,2)</f>
        <v>109.54</v>
      </c>
    </row>
    <row r="140">
      <c r="A140" t="inlineStr">
        <is>
          <t>2026-08-01</t>
        </is>
      </c>
      <c r="B140">
        <v>1</v>
      </c>
      <c r="C140" t="inlineStr">
        <is>
          <t>phase_1_user_growth</t>
        </is>
      </c>
      <c r="D140">
        <f>ROUND(MAX(0,($B$103+SUM('MAU &amp; Operating Metrics'!$D$19:'MAU &amp; Operating Metrics'!$D$24)*(($B$104-$B$103)/MAX(1,SUM('MAU &amp; Operating Metrics'!$D$19:'MAU &amp; Operating Metrics'!$D$54))))-$B$106)*$B$105+('MAU &amp; Operating Metrics'!$D$24*$B$107/1000000)*$B$108+('Advertising'!$G$18*$B$109/1000000)*$B$110,2)</f>
        <v>4.79</v>
      </c>
      <c r="E140">
        <f>ROUND(($B$111+IF('MAU &amp; Operating Metrics'!$F$24&gt;=$B$116,$B$114,IF('MAU &amp; Operating Metrics'!$F$24&gt;=$B$115,$B$113,$B$112)))+MAX(0,($B$118+SUM('MAU &amp; Operating Metrics'!$D$19:'MAU &amp; Operating Metrics'!$D$24)/1000*$B$119)-$B$118)*$B$120+IF('MAU &amp; Operating Metrics'!$F$24&gt;=$B$117,IF('MAU &amp; Operating Metrics'!$F$24&gt;=$B$116,$B$114,IF('MAU &amp; Operating Metrics'!$F$24&gt;=$B$115,$B$113,$B$112)),0),2)</f>
        <v>35.62</v>
      </c>
      <c r="F140">
        <f>ROUND($B$121+ROUND($B$122+MAX(0,(('Advertising'!$G$18*$B$127+'MAU &amp; Operating Metrics'!$D$24*$B$128)/1000000)-$B$123)*$B$124+MAX(0,(((('Advertising'!$G$18*$B$127+'MAU &amp; Operating Metrics'!$D$24*$B$128)/1000000)*$B$129)-$B$125))*$B$126,2),2)</f>
        <v>5</v>
      </c>
      <c r="G140">
        <f>$B$131</f>
        <v>35</v>
      </c>
      <c r="H140">
        <f>$B$130</f>
        <v>30</v>
      </c>
      <c r="I140">
        <f>ROUND(D140+E140+F140+G140+H140-J140,2)</f>
        <v>105.14</v>
      </c>
      <c r="J140">
        <f>ROUND(MAX(0,($B$103+SUM('MAU &amp; Operating Metrics'!$D$19:'MAU &amp; Operating Metrics'!$D$24)*(($B$104-$B$103)/MAX(1,SUM('MAU &amp; Operating Metrics'!$D$19:'MAU &amp; Operating Metrics'!$D$54))))-$B$106)*$B$105+MAX(0,($B$118+SUM('MAU &amp; Operating Metrics'!$D$19:'MAU &amp; Operating Metrics'!$D$24)/1000*$B$119)-$B$118)*$B$120,2)</f>
        <v>5.27</v>
      </c>
      <c r="K140">
        <f>ROUND(I140+J140,2)</f>
        <v>110.41</v>
      </c>
    </row>
    <row r="141">
      <c r="A141" t="inlineStr">
        <is>
          <t>2026-09-01</t>
        </is>
      </c>
      <c r="B141">
        <v>1</v>
      </c>
      <c r="C141" t="inlineStr">
        <is>
          <t>phase_1_user_growth</t>
        </is>
      </c>
      <c r="D141">
        <f>ROUND(MAX(0,($B$103+SUM('MAU &amp; Operating Metrics'!$D$19:'MAU &amp; Operating Metrics'!$D$25)*(($B$104-$B$103)/MAX(1,SUM('MAU &amp; Operating Metrics'!$D$19:'MAU &amp; Operating Metrics'!$D$54))))-$B$106)*$B$105+('MAU &amp; Operating Metrics'!$D$25*$B$107/1000000)*$B$108+('Advertising'!$G$19*$B$109/1000000)*$B$110,2)</f>
        <v>5.52</v>
      </c>
      <c r="E141">
        <f>ROUND(($B$111+IF('MAU &amp; Operating Metrics'!$F$25&gt;=$B$116,$B$114,IF('MAU &amp; Operating Metrics'!$F$25&gt;=$B$115,$B$113,$B$112)))+MAX(0,($B$118+SUM('MAU &amp; Operating Metrics'!$D$19:'MAU &amp; Operating Metrics'!$D$25)/1000*$B$119)-$B$118)*$B$120+IF('MAU &amp; Operating Metrics'!$F$25&gt;=$B$117,IF('MAU &amp; Operating Metrics'!$F$25&gt;=$B$116,$B$114,IF('MAU &amp; Operating Metrics'!$F$25&gt;=$B$115,$B$113,$B$112)),0),2)</f>
        <v>35.75</v>
      </c>
      <c r="F141">
        <f>ROUND($B$121+ROUND($B$122+MAX(0,(('Advertising'!$G$19*$B$127+'MAU &amp; Operating Metrics'!$D$25*$B$128)/1000000)-$B$123)*$B$124+MAX(0,(((('Advertising'!$G$19*$B$127+'MAU &amp; Operating Metrics'!$D$25*$B$128)/1000000)*$B$129)-$B$125))*$B$126,2),2)</f>
        <v>5</v>
      </c>
      <c r="G141">
        <f>$B$131</f>
        <v>35</v>
      </c>
      <c r="H141">
        <f>$B$130</f>
        <v>30</v>
      </c>
      <c r="I141">
        <f>ROUND(D141+E141+F141+G141+H141-J141,2)</f>
        <v>105.15</v>
      </c>
      <c r="J141">
        <f>ROUND(MAX(0,($B$103+SUM('MAU &amp; Operating Metrics'!$D$19:'MAU &amp; Operating Metrics'!$D$25)*(($B$104-$B$103)/MAX(1,SUM('MAU &amp; Operating Metrics'!$D$19:'MAU &amp; Operating Metrics'!$D$54))))-$B$106)*$B$105+MAX(0,($B$118+SUM('MAU &amp; Operating Metrics'!$D$19:'MAU &amp; Operating Metrics'!$D$25)/1000*$B$119)-$B$118)*$B$120,2)</f>
        <v>6.12</v>
      </c>
      <c r="K141">
        <f>ROUND(I141+J141,2)</f>
        <v>111.27</v>
      </c>
    </row>
    <row r="142">
      <c r="A142" t="inlineStr">
        <is>
          <t>2026-10-01</t>
        </is>
      </c>
      <c r="B142">
        <v>1</v>
      </c>
      <c r="C142" t="inlineStr">
        <is>
          <t>phase_1_user_growth</t>
        </is>
      </c>
      <c r="D142">
        <f>ROUND(MAX(0,($B$103+SUM('MAU &amp; Operating Metrics'!$D$19:'MAU &amp; Operating Metrics'!$D$26)*(($B$104-$B$103)/MAX(1,SUM('MAU &amp; Operating Metrics'!$D$19:'MAU &amp; Operating Metrics'!$D$54))))-$B$106)*$B$105+('MAU &amp; Operating Metrics'!$D$26*$B$107/1000000)*$B$108+('Advertising'!$G$20*$B$109/1000000)*$B$110,2)</f>
        <v>6.37</v>
      </c>
      <c r="E142">
        <f>ROUND(($B$111+IF('MAU &amp; Operating Metrics'!$F$26&gt;=$B$116,$B$114,IF('MAU &amp; Operating Metrics'!$F$26&gt;=$B$115,$B$113,$B$112)))+MAX(0,($B$118+SUM('MAU &amp; Operating Metrics'!$D$19:'MAU &amp; Operating Metrics'!$D$26)/1000*$B$119)-$B$118)*$B$120+IF('MAU &amp; Operating Metrics'!$F$26&gt;=$B$117,IF('MAU &amp; Operating Metrics'!$F$26&gt;=$B$116,$B$114,IF('MAU &amp; Operating Metrics'!$F$26&gt;=$B$115,$B$113,$B$112)),0),2)</f>
        <v>35.91</v>
      </c>
      <c r="F142">
        <f>ROUND($B$121+ROUND($B$122+MAX(0,(('Advertising'!$G$20*$B$127+'MAU &amp; Operating Metrics'!$D$26*$B$128)/1000000)-$B$123)*$B$124+MAX(0,(((('Advertising'!$G$20*$B$127+'MAU &amp; Operating Metrics'!$D$26*$B$128)/1000000)*$B$129)-$B$125))*$B$126,2),2)</f>
        <v>5</v>
      </c>
      <c r="G142">
        <f>$B$131</f>
        <v>35</v>
      </c>
      <c r="H142">
        <f>$B$130</f>
        <v>30</v>
      </c>
      <c r="I142">
        <f>ROUND(D142+E142+F142+G142+H142-J142,2)</f>
        <v>105.17</v>
      </c>
      <c r="J142">
        <f>ROUND(MAX(0,($B$103+SUM('MAU &amp; Operating Metrics'!$D$19:'MAU &amp; Operating Metrics'!$D$26)*(($B$104-$B$103)/MAX(1,SUM('MAU &amp; Operating Metrics'!$D$19:'MAU &amp; Operating Metrics'!$D$54))))-$B$106)*$B$105+MAX(0,($B$118+SUM('MAU &amp; Operating Metrics'!$D$19:'MAU &amp; Operating Metrics'!$D$26)/1000*$B$119)-$B$118)*$B$120,2)</f>
        <v>7.11</v>
      </c>
      <c r="K142">
        <f>ROUND(I142+J142,2)</f>
        <v>112.28</v>
      </c>
    </row>
    <row r="143">
      <c r="A143" t="inlineStr">
        <is>
          <t>2026-11-01</t>
        </is>
      </c>
      <c r="B143">
        <v>1</v>
      </c>
      <c r="C143" t="inlineStr">
        <is>
          <t>phase_1_user_growth</t>
        </is>
      </c>
      <c r="D143">
        <f>ROUND(MAX(0,($B$103+SUM('MAU &amp; Operating Metrics'!$D$19:'MAU &amp; Operating Metrics'!$D$27)*(($B$104-$B$103)/MAX(1,SUM('MAU &amp; Operating Metrics'!$D$19:'MAU &amp; Operating Metrics'!$D$54))))-$B$106)*$B$105+('MAU &amp; Operating Metrics'!$D$27*$B$107/1000000)*$B$108+('Advertising'!$G$21*$B$109/1000000)*$B$110,2)</f>
        <v>7.81</v>
      </c>
      <c r="E143">
        <f>ROUND(($B$111+IF('MAU &amp; Operating Metrics'!$F$27&gt;=$B$116,$B$114,IF('MAU &amp; Operating Metrics'!$F$27&gt;=$B$115,$B$113,$B$112)))+MAX(0,($B$118+SUM('MAU &amp; Operating Metrics'!$D$19:'MAU &amp; Operating Metrics'!$D$27)/1000*$B$119)-$B$118)*$B$120+IF('MAU &amp; Operating Metrics'!$F$27&gt;=$B$117,IF('MAU &amp; Operating Metrics'!$F$27&gt;=$B$116,$B$114,IF('MAU &amp; Operating Metrics'!$F$27&gt;=$B$115,$B$113,$B$112)),0),2)</f>
        <v>36.16</v>
      </c>
      <c r="F143">
        <f>ROUND($B$121+ROUND($B$122+MAX(0,(('Advertising'!$G$21*$B$127+'MAU &amp; Operating Metrics'!$D$27*$B$128)/1000000)-$B$123)*$B$124+MAX(0,(((('Advertising'!$G$21*$B$127+'MAU &amp; Operating Metrics'!$D$27*$B$128)/1000000)*$B$129)-$B$125))*$B$126,2),2)</f>
        <v>5</v>
      </c>
      <c r="G143">
        <f>$B$131</f>
        <v>35</v>
      </c>
      <c r="H143">
        <f>$B$130</f>
        <v>30</v>
      </c>
      <c r="I143">
        <f>ROUND(D143+E143+F143+G143+H143-J143,2)</f>
        <v>105.27</v>
      </c>
      <c r="J143">
        <f>ROUND(MAX(0,($B$103+SUM('MAU &amp; Operating Metrics'!$D$19:'MAU &amp; Operating Metrics'!$D$27)*(($B$104-$B$103)/MAX(1,SUM('MAU &amp; Operating Metrics'!$D$19:'MAU &amp; Operating Metrics'!$D$54))))-$B$106)*$B$105+MAX(0,($B$118+SUM('MAU &amp; Operating Metrics'!$D$19:'MAU &amp; Operating Metrics'!$D$27)/1000*$B$119)-$B$118)*$B$120,2)</f>
        <v>8.7</v>
      </c>
      <c r="K143">
        <f>ROUND(I143+J143,2)</f>
        <v>113.97</v>
      </c>
    </row>
    <row r="144">
      <c r="A144" t="inlineStr">
        <is>
          <t>2026-12-01</t>
        </is>
      </c>
      <c r="B144">
        <v>1</v>
      </c>
      <c r="C144" t="inlineStr">
        <is>
          <t>phase_1_user_growth</t>
        </is>
      </c>
      <c r="D144">
        <f>ROUND(MAX(0,($B$103+SUM('MAU &amp; Operating Metrics'!$D$19:'MAU &amp; Operating Metrics'!$D$28)*(($B$104-$B$103)/MAX(1,SUM('MAU &amp; Operating Metrics'!$D$19:'MAU &amp; Operating Metrics'!$D$54))))-$B$106)*$B$105+('MAU &amp; Operating Metrics'!$D$28*$B$107/1000000)*$B$108+('Advertising'!$G$22*$B$109/1000000)*$B$110,2)</f>
        <v>10.78</v>
      </c>
      <c r="E144">
        <f>ROUND(($B$111+IF('MAU &amp; Operating Metrics'!$F$28&gt;=$B$116,$B$114,IF('MAU &amp; Operating Metrics'!$F$28&gt;=$B$115,$B$113,$B$112)))+MAX(0,($B$118+SUM('MAU &amp; Operating Metrics'!$D$19:'MAU &amp; Operating Metrics'!$D$28)/1000*$B$119)-$B$118)*$B$120+IF('MAU &amp; Operating Metrics'!$F$28&gt;=$B$117,IF('MAU &amp; Operating Metrics'!$F$28&gt;=$B$116,$B$114,IF('MAU &amp; Operating Metrics'!$F$28&gt;=$B$115,$B$113,$B$112)),0),2)</f>
        <v>36.67</v>
      </c>
      <c r="F144">
        <f>ROUND($B$121+ROUND($B$122+MAX(0,(('Advertising'!$G$22*$B$127+'MAU &amp; Operating Metrics'!$D$28*$B$128)/1000000)-$B$123)*$B$124+MAX(0,(((('Advertising'!$G$22*$B$127+'MAU &amp; Operating Metrics'!$D$28*$B$128)/1000000)*$B$129)-$B$125))*$B$126,2),2)</f>
        <v>5</v>
      </c>
      <c r="G144">
        <f>$B$131</f>
        <v>35</v>
      </c>
      <c r="H144">
        <f>$B$130</f>
        <v>30</v>
      </c>
      <c r="I144">
        <f>ROUND(D144+E144+F144+G144+H144-J144,2)</f>
        <v>105.53</v>
      </c>
      <c r="J144">
        <f>ROUND(MAX(0,($B$103+SUM('MAU &amp; Operating Metrics'!$D$19:'MAU &amp; Operating Metrics'!$D$28)*(($B$104-$B$103)/MAX(1,SUM('MAU &amp; Operating Metrics'!$D$19:'MAU &amp; Operating Metrics'!$D$54))))-$B$106)*$B$105+MAX(0,($B$118+SUM('MAU &amp; Operating Metrics'!$D$19:'MAU &amp; Operating Metrics'!$D$28)/1000*$B$119)-$B$118)*$B$120,2)</f>
        <v>11.92</v>
      </c>
      <c r="K144">
        <f>ROUND(I144+J144,2)</f>
        <v>117.45</v>
      </c>
    </row>
    <row r="145">
      <c r="A145" t="inlineStr">
        <is>
          <t>2027-01-01</t>
        </is>
      </c>
      <c r="B145">
        <v>1</v>
      </c>
      <c r="C145" t="inlineStr">
        <is>
          <t>phase_1_user_growth</t>
        </is>
      </c>
      <c r="D145">
        <f>ROUND(MAX(0,($B$103+SUM('MAU &amp; Operating Metrics'!$D$19:'MAU &amp; Operating Metrics'!$D$29)*(($B$104-$B$103)/MAX(1,SUM('MAU &amp; Operating Metrics'!$D$19:'MAU &amp; Operating Metrics'!$D$54))))-$B$106)*$B$105+('MAU &amp; Operating Metrics'!$D$29*$B$107/1000000)*$B$108+('Advertising'!$G$23*$B$109/1000000)*$B$110,2)</f>
        <v>11.46</v>
      </c>
      <c r="E145">
        <f>ROUND(($B$111+IF('MAU &amp; Operating Metrics'!$F$29&gt;=$B$116,$B$114,IF('MAU &amp; Operating Metrics'!$F$29&gt;=$B$115,$B$113,$B$112)))+MAX(0,($B$118+SUM('MAU &amp; Operating Metrics'!$D$19:'MAU &amp; Operating Metrics'!$D$29)/1000*$B$119)-$B$118)*$B$120+IF('MAU &amp; Operating Metrics'!$F$29&gt;=$B$117,IF('MAU &amp; Operating Metrics'!$F$29&gt;=$B$116,$B$114,IF('MAU &amp; Operating Metrics'!$F$29&gt;=$B$115,$B$113,$B$112)),0),2)</f>
        <v>36.85</v>
      </c>
      <c r="F145">
        <f>ROUND($B$121+ROUND($B$122+MAX(0,(('Advertising'!$G$23*$B$127+'MAU &amp; Operating Metrics'!$D$29*$B$128)/1000000)-$B$123)*$B$124+MAX(0,(((('Advertising'!$G$23*$B$127+'MAU &amp; Operating Metrics'!$D$29*$B$128)/1000000)*$B$129)-$B$125))*$B$126,2),2)</f>
        <v>5</v>
      </c>
      <c r="G145">
        <f>$B$131</f>
        <v>35</v>
      </c>
      <c r="H145">
        <f>$B$130</f>
        <v>30</v>
      </c>
      <c r="I145">
        <f>ROUND(D145+E145+F145+G145+H145-J145,2)</f>
        <v>105.23</v>
      </c>
      <c r="J145">
        <f>ROUND(MAX(0,($B$103+SUM('MAU &amp; Operating Metrics'!$D$19:'MAU &amp; Operating Metrics'!$D$29)*(($B$104-$B$103)/MAX(1,SUM('MAU &amp; Operating Metrics'!$D$19:'MAU &amp; Operating Metrics'!$D$54))))-$B$106)*$B$105+MAX(0,($B$118+SUM('MAU &amp; Operating Metrics'!$D$19:'MAU &amp; Operating Metrics'!$D$29)/1000*$B$119)-$B$118)*$B$120,2)</f>
        <v>13.08</v>
      </c>
      <c r="K145">
        <f>ROUND(I145+J145,2)</f>
        <v>118.31</v>
      </c>
    </row>
    <row r="146">
      <c r="A146" t="inlineStr">
        <is>
          <t>2027-02-01</t>
        </is>
      </c>
      <c r="B146">
        <v>1</v>
      </c>
      <c r="C146" t="inlineStr">
        <is>
          <t>phase_1_user_growth</t>
        </is>
      </c>
      <c r="D146">
        <f>ROUND(MAX(0,($B$103+SUM('MAU &amp; Operating Metrics'!$D$19:'MAU &amp; Operating Metrics'!$D$30)*(($B$104-$B$103)/MAX(1,SUM('MAU &amp; Operating Metrics'!$D$19:'MAU &amp; Operating Metrics'!$D$54))))-$B$106)*$B$105+('MAU &amp; Operating Metrics'!$D$30*$B$107/1000000)*$B$108+('Advertising'!$G$24*$B$109/1000000)*$B$110,2)</f>
        <v>12.83</v>
      </c>
      <c r="E146">
        <f>ROUND(($B$111+IF('MAU &amp; Operating Metrics'!$F$30&gt;=$B$116,$B$114,IF('MAU &amp; Operating Metrics'!$F$30&gt;=$B$115,$B$113,$B$112)))+MAX(0,($B$118+SUM('MAU &amp; Operating Metrics'!$D$19:'MAU &amp; Operating Metrics'!$D$30)/1000*$B$119)-$B$118)*$B$120+IF('MAU &amp; Operating Metrics'!$F$30&gt;=$B$117,IF('MAU &amp; Operating Metrics'!$F$30&gt;=$B$116,$B$114,IF('MAU &amp; Operating Metrics'!$F$30&gt;=$B$115,$B$113,$B$112)),0),2)</f>
        <v>37.1</v>
      </c>
      <c r="F146">
        <f>ROUND($B$121+ROUND($B$122+MAX(0,(('Advertising'!$G$24*$B$127+'MAU &amp; Operating Metrics'!$D$30*$B$128)/1000000)-$B$123)*$B$124+MAX(0,(((('Advertising'!$G$24*$B$127+'MAU &amp; Operating Metrics'!$D$30*$B$128)/1000000)*$B$129)-$B$125))*$B$126,2),2)</f>
        <v>5</v>
      </c>
      <c r="G146">
        <f>$B$131</f>
        <v>35</v>
      </c>
      <c r="H146">
        <f>$B$130</f>
        <v>30</v>
      </c>
      <c r="I146">
        <f>ROUND(D146+E146+F146+G146+H146-J146,2)</f>
        <v>105.28</v>
      </c>
      <c r="J146">
        <f>ROUND(MAX(0,($B$103+SUM('MAU &amp; Operating Metrics'!$D$19:'MAU &amp; Operating Metrics'!$D$30)*(($B$104-$B$103)/MAX(1,SUM('MAU &amp; Operating Metrics'!$D$19:'MAU &amp; Operating Metrics'!$D$54))))-$B$106)*$B$105+MAX(0,($B$118+SUM('MAU &amp; Operating Metrics'!$D$19:'MAU &amp; Operating Metrics'!$D$30)/1000*$B$119)-$B$118)*$B$120,2)</f>
        <v>14.65</v>
      </c>
      <c r="K146">
        <f>ROUND(I146+J146,2)</f>
        <v>119.93</v>
      </c>
    </row>
    <row r="147">
      <c r="A147" t="inlineStr">
        <is>
          <t>2027-03-01</t>
        </is>
      </c>
      <c r="B147">
        <v>2</v>
      </c>
      <c r="C147" t="inlineStr">
        <is>
          <t>phase_2_marketplace_activation</t>
        </is>
      </c>
      <c r="D147">
        <f>ROUND(MAX(0,($B$103+SUM('MAU &amp; Operating Metrics'!$D$19:'MAU &amp; Operating Metrics'!$D$31)*(($B$104-$B$103)/MAX(1,SUM('MAU &amp; Operating Metrics'!$D$19:'MAU &amp; Operating Metrics'!$D$54))))-$B$106)*$B$105+('MAU &amp; Operating Metrics'!$D$31*$B$107/1000000)*$B$108+('Advertising'!$G$25*$B$109/1000000)*$B$110,2)</f>
        <v>13.95</v>
      </c>
      <c r="E147">
        <f>ROUND(($B$111+IF('MAU &amp; Operating Metrics'!$F$31&gt;=$B$116,$B$114,IF('MAU &amp; Operating Metrics'!$F$31&gt;=$B$115,$B$113,$B$112)))+MAX(0,($B$118+SUM('MAU &amp; Operating Metrics'!$D$19:'MAU &amp; Operating Metrics'!$D$31)/1000*$B$119)-$B$118)*$B$120+IF('MAU &amp; Operating Metrics'!$F$31&gt;=$B$117,IF('MAU &amp; Operating Metrics'!$F$31&gt;=$B$116,$B$114,IF('MAU &amp; Operating Metrics'!$F$31&gt;=$B$115,$B$113,$B$112)),0),2)</f>
        <v>37.32</v>
      </c>
      <c r="F147">
        <f>ROUND($B$121+ROUND($B$122+MAX(0,(('Advertising'!$G$25*$B$127+'MAU &amp; Operating Metrics'!$D$31*$B$128)/1000000)-$B$123)*$B$124+MAX(0,(((('Advertising'!$G$25*$B$127+'MAU &amp; Operating Metrics'!$D$31*$B$128)/1000000)*$B$129)-$B$125))*$B$126,2),2)</f>
        <v>5</v>
      </c>
      <c r="G147">
        <f>$B$131</f>
        <v>35</v>
      </c>
      <c r="H147">
        <f>$B$130</f>
        <v>30</v>
      </c>
      <c r="I147">
        <f>ROUND(D147+E147+F147+G147+H147-J147,2)</f>
        <v>105.25</v>
      </c>
      <c r="J147">
        <f>ROUND(MAX(0,($B$103+SUM('MAU &amp; Operating Metrics'!$D$19:'MAU &amp; Operating Metrics'!$D$31)*(($B$104-$B$103)/MAX(1,SUM('MAU &amp; Operating Metrics'!$D$19:'MAU &amp; Operating Metrics'!$D$54))))-$B$106)*$B$105+MAX(0,($B$118+SUM('MAU &amp; Operating Metrics'!$D$19:'MAU &amp; Operating Metrics'!$D$31)/1000*$B$119)-$B$118)*$B$120,2)</f>
        <v>16.02</v>
      </c>
      <c r="K147">
        <f>ROUND(I147+J147,2)</f>
        <v>121.27</v>
      </c>
    </row>
    <row r="148">
      <c r="A148" t="inlineStr">
        <is>
          <t>2027-04-01</t>
        </is>
      </c>
      <c r="B148">
        <v>2</v>
      </c>
      <c r="C148" t="inlineStr">
        <is>
          <t>phase_2_marketplace_activation</t>
        </is>
      </c>
      <c r="D148">
        <f>ROUND(MAX(0,($B$103+SUM('MAU &amp; Operating Metrics'!$D$19:'MAU &amp; Operating Metrics'!$D$32)*(($B$104-$B$103)/MAX(1,SUM('MAU &amp; Operating Metrics'!$D$19:'MAU &amp; Operating Metrics'!$D$54))))-$B$106)*$B$105+('MAU &amp; Operating Metrics'!$D$32*$B$107/1000000)*$B$108+('Advertising'!$G$26*$B$109/1000000)*$B$110,2)</f>
        <v>15.17</v>
      </c>
      <c r="E148">
        <f>ROUND(($B$111+IF('MAU &amp; Operating Metrics'!$F$32&gt;=$B$116,$B$114,IF('MAU &amp; Operating Metrics'!$F$32&gt;=$B$115,$B$113,$B$112)))+MAX(0,($B$118+SUM('MAU &amp; Operating Metrics'!$D$19:'MAU &amp; Operating Metrics'!$D$32)/1000*$B$119)-$B$118)*$B$120+IF('MAU &amp; Operating Metrics'!$F$32&gt;=$B$117,IF('MAU &amp; Operating Metrics'!$F$32&gt;=$B$116,$B$114,IF('MAU &amp; Operating Metrics'!$F$32&gt;=$B$115,$B$113,$B$112)),0),2)</f>
        <v>37.54</v>
      </c>
      <c r="F148">
        <f>ROUND($B$121+ROUND($B$122+MAX(0,(('Advertising'!$G$26*$B$127+'MAU &amp; Operating Metrics'!$D$32*$B$128)/1000000)-$B$123)*$B$124+MAX(0,(((('Advertising'!$G$26*$B$127+'MAU &amp; Operating Metrics'!$D$32*$B$128)/1000000)*$B$129)-$B$125))*$B$126,2),2)</f>
        <v>5</v>
      </c>
      <c r="G148">
        <f>$B$131</f>
        <v>35</v>
      </c>
      <c r="H148">
        <f>$B$130</f>
        <v>30</v>
      </c>
      <c r="I148">
        <f>ROUND(D148+E148+F148+G148+H148-J148,2)</f>
        <v>105.26</v>
      </c>
      <c r="J148">
        <f>ROUND(MAX(0,($B$103+SUM('MAU &amp; Operating Metrics'!$D$19:'MAU &amp; Operating Metrics'!$D$32)*(($B$104-$B$103)/MAX(1,SUM('MAU &amp; Operating Metrics'!$D$19:'MAU &amp; Operating Metrics'!$D$54))))-$B$106)*$B$105+MAX(0,($B$118+SUM('MAU &amp; Operating Metrics'!$D$19:'MAU &amp; Operating Metrics'!$D$32)/1000*$B$119)-$B$118)*$B$120,2)</f>
        <v>17.45</v>
      </c>
      <c r="K148">
        <f>ROUND(I148+J148,2)</f>
        <v>122.71</v>
      </c>
    </row>
    <row r="149">
      <c r="A149" t="inlineStr">
        <is>
          <t>2027-05-01</t>
        </is>
      </c>
      <c r="B149">
        <v>2</v>
      </c>
      <c r="C149" t="inlineStr">
        <is>
          <t>phase_2_marketplace_activation</t>
        </is>
      </c>
      <c r="D149">
        <f>ROUND(MAX(0,($B$103+SUM('MAU &amp; Operating Metrics'!$D$19:'MAU &amp; Operating Metrics'!$D$33)*(($B$104-$B$103)/MAX(1,SUM('MAU &amp; Operating Metrics'!$D$19:'MAU &amp; Operating Metrics'!$D$54))))-$B$106)*$B$105+('MAU &amp; Operating Metrics'!$D$33*$B$107/1000000)*$B$108+('Advertising'!$G$27*$B$109/1000000)*$B$110,2)</f>
        <v>16.79</v>
      </c>
      <c r="E149">
        <f>ROUND(($B$111+IF('MAU &amp; Operating Metrics'!$F$33&gt;=$B$116,$B$114,IF('MAU &amp; Operating Metrics'!$F$33&gt;=$B$115,$B$113,$B$112)))+MAX(0,($B$118+SUM('MAU &amp; Operating Metrics'!$D$19:'MAU &amp; Operating Metrics'!$D$33)/1000*$B$119)-$B$118)*$B$120+IF('MAU &amp; Operating Metrics'!$F$33&gt;=$B$117,IF('MAU &amp; Operating Metrics'!$F$33&gt;=$B$116,$B$114,IF('MAU &amp; Operating Metrics'!$F$33&gt;=$B$115,$B$113,$B$112)),0),2)</f>
        <v>37.83</v>
      </c>
      <c r="F149">
        <f>ROUND($B$121+ROUND($B$122+MAX(0,(('Advertising'!$G$27*$B$127+'MAU &amp; Operating Metrics'!$D$33*$B$128)/1000000)-$B$123)*$B$124+MAX(0,(((('Advertising'!$G$27*$B$127+'MAU &amp; Operating Metrics'!$D$33*$B$128)/1000000)*$B$129)-$B$125))*$B$126,2),2)</f>
        <v>5</v>
      </c>
      <c r="G149">
        <f>$B$131</f>
        <v>35</v>
      </c>
      <c r="H149">
        <f>$B$130</f>
        <v>30</v>
      </c>
      <c r="I149">
        <f>ROUND(D149+E149+F149+G149+H149-J149,2)</f>
        <v>105.33</v>
      </c>
      <c r="J149">
        <f>ROUND(MAX(0,($B$103+SUM('MAU &amp; Operating Metrics'!$D$19:'MAU &amp; Operating Metrics'!$D$33)*(($B$104-$B$103)/MAX(1,SUM('MAU &amp; Operating Metrics'!$D$19:'MAU &amp; Operating Metrics'!$D$54))))-$B$106)*$B$105+MAX(0,($B$118+SUM('MAU &amp; Operating Metrics'!$D$19:'MAU &amp; Operating Metrics'!$D$33)/1000*$B$119)-$B$118)*$B$120,2)</f>
        <v>19.29</v>
      </c>
      <c r="K149">
        <f>ROUND(I149+J149,2)</f>
        <v>124.62</v>
      </c>
    </row>
    <row r="150">
      <c r="A150" t="inlineStr">
        <is>
          <t>2027-06-01</t>
        </is>
      </c>
      <c r="B150">
        <v>2</v>
      </c>
      <c r="C150" t="inlineStr">
        <is>
          <t>phase_2_marketplace_activation</t>
        </is>
      </c>
      <c r="D150">
        <f>ROUND(MAX(0,($B$103+SUM('MAU &amp; Operating Metrics'!$D$19:'MAU &amp; Operating Metrics'!$D$34)*(($B$104-$B$103)/MAX(1,SUM('MAU &amp; Operating Metrics'!$D$19:'MAU &amp; Operating Metrics'!$D$54))))-$B$106)*$B$105+('MAU &amp; Operating Metrics'!$D$34*$B$107/1000000)*$B$108+('Advertising'!$G$28*$B$109/1000000)*$B$110,2)</f>
        <v>18.24</v>
      </c>
      <c r="E150">
        <f>ROUND(($B$111+IF('MAU &amp; Operating Metrics'!$F$34&gt;=$B$116,$B$114,IF('MAU &amp; Operating Metrics'!$F$34&gt;=$B$115,$B$113,$B$112)))+MAX(0,($B$118+SUM('MAU &amp; Operating Metrics'!$D$19:'MAU &amp; Operating Metrics'!$D$34)/1000*$B$119)-$B$118)*$B$120+IF('MAU &amp; Operating Metrics'!$F$34&gt;=$B$117,IF('MAU &amp; Operating Metrics'!$F$34&gt;=$B$116,$B$114,IF('MAU &amp; Operating Metrics'!$F$34&gt;=$B$115,$B$113,$B$112)),0),2)</f>
        <v>38.11</v>
      </c>
      <c r="F150">
        <f>ROUND($B$121+ROUND($B$122+MAX(0,(('Advertising'!$G$28*$B$127+'MAU &amp; Operating Metrics'!$D$34*$B$128)/1000000)-$B$123)*$B$124+MAX(0,(((('Advertising'!$G$28*$B$127+'MAU &amp; Operating Metrics'!$D$34*$B$128)/1000000)*$B$129)-$B$125))*$B$126,2),2)</f>
        <v>5</v>
      </c>
      <c r="G150">
        <f>$B$131</f>
        <v>35</v>
      </c>
      <c r="H150">
        <f>$B$130</f>
        <v>30</v>
      </c>
      <c r="I150">
        <f>ROUND(D150+E150+F150+G150+H150-J150,2)</f>
        <v>105.32</v>
      </c>
      <c r="J150">
        <f>ROUND(MAX(0,($B$103+SUM('MAU &amp; Operating Metrics'!$D$19:'MAU &amp; Operating Metrics'!$D$34)*(($B$104-$B$103)/MAX(1,SUM('MAU &amp; Operating Metrics'!$D$19:'MAU &amp; Operating Metrics'!$D$54))))-$B$106)*$B$105+MAX(0,($B$118+SUM('MAU &amp; Operating Metrics'!$D$19:'MAU &amp; Operating Metrics'!$D$34)/1000*$B$119)-$B$118)*$B$120,2)</f>
        <v>21.03</v>
      </c>
      <c r="K150">
        <f>ROUND(I150+J150,2)</f>
        <v>126.35</v>
      </c>
    </row>
    <row r="151">
      <c r="A151" t="inlineStr">
        <is>
          <t>2027-07-01</t>
        </is>
      </c>
      <c r="B151">
        <v>2</v>
      </c>
      <c r="C151" t="inlineStr">
        <is>
          <t>phase_2_marketplace_activation</t>
        </is>
      </c>
      <c r="D151">
        <f>ROUND(MAX(0,($B$103+SUM('MAU &amp; Operating Metrics'!$D$19:'MAU &amp; Operating Metrics'!$D$35)*(($B$104-$B$103)/MAX(1,SUM('MAU &amp; Operating Metrics'!$D$19:'MAU &amp; Operating Metrics'!$D$54))))-$B$106)*$B$105+('MAU &amp; Operating Metrics'!$D$35*$B$107/1000000)*$B$108+('Advertising'!$G$29*$B$109/1000000)*$B$110,2)</f>
        <v>19.82</v>
      </c>
      <c r="E151">
        <f>ROUND(($B$111+IF('MAU &amp; Operating Metrics'!$F$35&gt;=$B$116,$B$114,IF('MAU &amp; Operating Metrics'!$F$35&gt;=$B$115,$B$113,$B$112)))+MAX(0,($B$118+SUM('MAU &amp; Operating Metrics'!$D$19:'MAU &amp; Operating Metrics'!$D$35)/1000*$B$119)-$B$118)*$B$120+IF('MAU &amp; Operating Metrics'!$F$35&gt;=$B$117,IF('MAU &amp; Operating Metrics'!$F$35&gt;=$B$116,$B$114,IF('MAU &amp; Operating Metrics'!$F$35&gt;=$B$115,$B$113,$B$112)),0),2)</f>
        <v>38.4</v>
      </c>
      <c r="F151">
        <f>ROUND($B$121+ROUND($B$122+MAX(0,(('Advertising'!$G$29*$B$127+'MAU &amp; Operating Metrics'!$D$35*$B$128)/1000000)-$B$123)*$B$124+MAX(0,(((('Advertising'!$G$29*$B$127+'MAU &amp; Operating Metrics'!$D$35*$B$128)/1000000)*$B$129)-$B$125))*$B$126,2),2)</f>
        <v>5</v>
      </c>
      <c r="G151">
        <f>$B$131</f>
        <v>35</v>
      </c>
      <c r="H151">
        <f>$B$130</f>
        <v>30</v>
      </c>
      <c r="I151">
        <f>ROUND(D151+E151+F151+G151+H151-J151,2)</f>
        <v>105.34</v>
      </c>
      <c r="J151">
        <f>ROUND(MAX(0,($B$103+SUM('MAU &amp; Operating Metrics'!$D$19:'MAU &amp; Operating Metrics'!$D$35)*(($B$104-$B$103)/MAX(1,SUM('MAU &amp; Operating Metrics'!$D$19:'MAU &amp; Operating Metrics'!$D$54))))-$B$106)*$B$105+MAX(0,($B$118+SUM('MAU &amp; Operating Metrics'!$D$19:'MAU &amp; Operating Metrics'!$D$35)/1000*$B$119)-$B$118)*$B$120,2)</f>
        <v>22.88</v>
      </c>
      <c r="K151">
        <f>ROUND(I151+J151,2)</f>
        <v>128.22</v>
      </c>
    </row>
    <row r="152">
      <c r="A152" t="inlineStr">
        <is>
          <t>2027-08-01</t>
        </is>
      </c>
      <c r="B152">
        <v>2</v>
      </c>
      <c r="C152" t="inlineStr">
        <is>
          <t>phase_2_marketplace_activation</t>
        </is>
      </c>
      <c r="D152">
        <f>ROUND(MAX(0,($B$103+SUM('MAU &amp; Operating Metrics'!$D$19:'MAU &amp; Operating Metrics'!$D$36)*(($B$104-$B$103)/MAX(1,SUM('MAU &amp; Operating Metrics'!$D$19:'MAU &amp; Operating Metrics'!$D$54))))-$B$106)*$B$105+('MAU &amp; Operating Metrics'!$D$36*$B$107/1000000)*$B$108+('Advertising'!$G$30*$B$109/1000000)*$B$110,2)</f>
        <v>21.42</v>
      </c>
      <c r="E152">
        <f>ROUND(($B$111+IF('MAU &amp; Operating Metrics'!$F$36&gt;=$B$116,$B$114,IF('MAU &amp; Operating Metrics'!$F$36&gt;=$B$115,$B$113,$B$112)))+MAX(0,($B$118+SUM('MAU &amp; Operating Metrics'!$D$19:'MAU &amp; Operating Metrics'!$D$36)/1000*$B$119)-$B$118)*$B$120+IF('MAU &amp; Operating Metrics'!$F$36&gt;=$B$117,IF('MAU &amp; Operating Metrics'!$F$36&gt;=$B$116,$B$114,IF('MAU &amp; Operating Metrics'!$F$36&gt;=$B$115,$B$113,$B$112)),0),2)</f>
        <v>38.7</v>
      </c>
      <c r="F152">
        <f>ROUND($B$121+ROUND($B$122+MAX(0,(('Advertising'!$G$30*$B$127+'MAU &amp; Operating Metrics'!$D$36*$B$128)/1000000)-$B$123)*$B$124+MAX(0,(((('Advertising'!$G$30*$B$127+'MAU &amp; Operating Metrics'!$D$36*$B$128)/1000000)*$B$129)-$B$125))*$B$126,2),2)</f>
        <v>5</v>
      </c>
      <c r="G152">
        <f>$B$131</f>
        <v>35</v>
      </c>
      <c r="H152">
        <f>$B$130</f>
        <v>30</v>
      </c>
      <c r="I152">
        <f>ROUND(D152+E152+F152+G152+H152-J152,2)</f>
        <v>105.35</v>
      </c>
      <c r="J152">
        <f>ROUND(MAX(0,($B$103+SUM('MAU &amp; Operating Metrics'!$D$19:'MAU &amp; Operating Metrics'!$D$36)*(($B$104-$B$103)/MAX(1,SUM('MAU &amp; Operating Metrics'!$D$19:'MAU &amp; Operating Metrics'!$D$54))))-$B$106)*$B$105+MAX(0,($B$118+SUM('MAU &amp; Operating Metrics'!$D$19:'MAU &amp; Operating Metrics'!$D$36)/1000*$B$119)-$B$118)*$B$120,2)</f>
        <v>24.77</v>
      </c>
      <c r="K152">
        <f>ROUND(I152+J152,2)</f>
        <v>130.12</v>
      </c>
    </row>
    <row r="153">
      <c r="A153" t="inlineStr">
        <is>
          <t>2027-09-01</t>
        </is>
      </c>
      <c r="B153">
        <v>2</v>
      </c>
      <c r="C153" t="inlineStr">
        <is>
          <t>phase_2_marketplace_activation</t>
        </is>
      </c>
      <c r="D153">
        <f>ROUND(MAX(0,($B$103+SUM('MAU &amp; Operating Metrics'!$D$19:'MAU &amp; Operating Metrics'!$D$37)*(($B$104-$B$103)/MAX(1,SUM('MAU &amp; Operating Metrics'!$D$19:'MAU &amp; Operating Metrics'!$D$54))))-$B$106)*$B$105+('MAU &amp; Operating Metrics'!$D$37*$B$107/1000000)*$B$108+('Advertising'!$G$31*$B$109/1000000)*$B$110,2)</f>
        <v>23.09</v>
      </c>
      <c r="E153">
        <f>ROUND(($B$111+IF('MAU &amp; Operating Metrics'!$F$37&gt;=$B$116,$B$114,IF('MAU &amp; Operating Metrics'!$F$37&gt;=$B$115,$B$113,$B$112)))+MAX(0,($B$118+SUM('MAU &amp; Operating Metrics'!$D$19:'MAU &amp; Operating Metrics'!$D$37)/1000*$B$119)-$B$118)*$B$120+IF('MAU &amp; Operating Metrics'!$F$37&gt;=$B$117,IF('MAU &amp; Operating Metrics'!$F$37&gt;=$B$116,$B$114,IF('MAU &amp; Operating Metrics'!$F$37&gt;=$B$115,$B$113,$B$112)),0),2)</f>
        <v>39.01</v>
      </c>
      <c r="F153">
        <f>ROUND($B$121+ROUND($B$122+MAX(0,(('Advertising'!$G$31*$B$127+'MAU &amp; Operating Metrics'!$D$37*$B$128)/1000000)-$B$123)*$B$124+MAX(0,(((('Advertising'!$G$31*$B$127+'MAU &amp; Operating Metrics'!$D$37*$B$128)/1000000)*$B$129)-$B$125))*$B$126,2),2)</f>
        <v>5</v>
      </c>
      <c r="G153">
        <f>$B$131</f>
        <v>35</v>
      </c>
      <c r="H153">
        <f>$B$130</f>
        <v>30</v>
      </c>
      <c r="I153">
        <f>ROUND(D153+E153+F153+G153+H153-J153,2)</f>
        <v>105.37</v>
      </c>
      <c r="J153">
        <f>ROUND(MAX(0,($B$103+SUM('MAU &amp; Operating Metrics'!$D$19:'MAU &amp; Operating Metrics'!$D$37)*(($B$104-$B$103)/MAX(1,SUM('MAU &amp; Operating Metrics'!$D$19:'MAU &amp; Operating Metrics'!$D$54))))-$B$106)*$B$105+MAX(0,($B$118+SUM('MAU &amp; Operating Metrics'!$D$19:'MAU &amp; Operating Metrics'!$D$37)/1000*$B$119)-$B$118)*$B$120,2)</f>
        <v>26.73</v>
      </c>
      <c r="K153">
        <f>ROUND(I153+J153,2)</f>
        <v>132.1</v>
      </c>
    </row>
    <row r="154">
      <c r="A154" t="inlineStr">
        <is>
          <t>2027-10-01</t>
        </is>
      </c>
      <c r="B154">
        <v>2</v>
      </c>
      <c r="C154" t="inlineStr">
        <is>
          <t>phase_2_marketplace_activation</t>
        </is>
      </c>
      <c r="D154">
        <f>ROUND(MAX(0,($B$103+SUM('MAU &amp; Operating Metrics'!$D$19:'MAU &amp; Operating Metrics'!$D$38)*(($B$104-$B$103)/MAX(1,SUM('MAU &amp; Operating Metrics'!$D$19:'MAU &amp; Operating Metrics'!$D$54))))-$B$106)*$B$105+('MAU &amp; Operating Metrics'!$D$38*$B$107/1000000)*$B$108+('Advertising'!$G$32*$B$109/1000000)*$B$110,2)</f>
        <v>24.95</v>
      </c>
      <c r="E154">
        <f>ROUND(($B$111+IF('MAU &amp; Operating Metrics'!$F$38&gt;=$B$116,$B$114,IF('MAU &amp; Operating Metrics'!$F$38&gt;=$B$115,$B$113,$B$112)))+MAX(0,($B$118+SUM('MAU &amp; Operating Metrics'!$D$19:'MAU &amp; Operating Metrics'!$D$38)/1000*$B$119)-$B$118)*$B$120+IF('MAU &amp; Operating Metrics'!$F$38&gt;=$B$117,IF('MAU &amp; Operating Metrics'!$F$38&gt;=$B$116,$B$114,IF('MAU &amp; Operating Metrics'!$F$38&gt;=$B$115,$B$113,$B$112)),0),2)</f>
        <v>39.35</v>
      </c>
      <c r="F154">
        <f>ROUND($B$121+ROUND($B$122+MAX(0,(('Advertising'!$G$32*$B$127+'MAU &amp; Operating Metrics'!$D$38*$B$128)/1000000)-$B$123)*$B$124+MAX(0,(((('Advertising'!$G$32*$B$127+'MAU &amp; Operating Metrics'!$D$38*$B$128)/1000000)*$B$129)-$B$125))*$B$126,2),2)</f>
        <v>5</v>
      </c>
      <c r="G154">
        <f>$B$131</f>
        <v>35</v>
      </c>
      <c r="H154">
        <f>$B$130</f>
        <v>30</v>
      </c>
      <c r="I154">
        <f>ROUND(D154+E154+F154+G154+H154-J154,2)</f>
        <v>105.4</v>
      </c>
      <c r="J154">
        <f>ROUND(MAX(0,($B$103+SUM('MAU &amp; Operating Metrics'!$D$19:'MAU &amp; Operating Metrics'!$D$38)*(($B$104-$B$103)/MAX(1,SUM('MAU &amp; Operating Metrics'!$D$19:'MAU &amp; Operating Metrics'!$D$54))))-$B$106)*$B$105+MAX(0,($B$118+SUM('MAU &amp; Operating Metrics'!$D$19:'MAU &amp; Operating Metrics'!$D$38)/1000*$B$119)-$B$118)*$B$120,2)</f>
        <v>28.9</v>
      </c>
      <c r="K154">
        <f>ROUND(I154+J154,2)</f>
        <v>134.3</v>
      </c>
    </row>
    <row r="155">
      <c r="A155" t="inlineStr">
        <is>
          <t>2027-11-01</t>
        </is>
      </c>
      <c r="B155">
        <v>2</v>
      </c>
      <c r="C155" t="inlineStr">
        <is>
          <t>phase_2_marketplace_activation</t>
        </is>
      </c>
      <c r="D155">
        <f>ROUND(MAX(0,($B$103+SUM('MAU &amp; Operating Metrics'!$D$19:'MAU &amp; Operating Metrics'!$D$39)*(($B$104-$B$103)/MAX(1,SUM('MAU &amp; Operating Metrics'!$D$19:'MAU &amp; Operating Metrics'!$D$54))))-$B$106)*$B$105+('MAU &amp; Operating Metrics'!$D$39*$B$107/1000000)*$B$108+('Advertising'!$G$33*$B$109/1000000)*$B$110,2)</f>
        <v>27.88</v>
      </c>
      <c r="E155">
        <f>ROUND(($B$111+IF('MAU &amp; Operating Metrics'!$F$39&gt;=$B$116,$B$114,IF('MAU &amp; Operating Metrics'!$F$39&gt;=$B$115,$B$113,$B$112)))+MAX(0,($B$118+SUM('MAU &amp; Operating Metrics'!$D$19:'MAU &amp; Operating Metrics'!$D$39)/1000*$B$119)-$B$118)*$B$120+IF('MAU &amp; Operating Metrics'!$F$39&gt;=$B$117,IF('MAU &amp; Operating Metrics'!$F$39&gt;=$B$116,$B$114,IF('MAU &amp; Operating Metrics'!$F$39&gt;=$B$115,$B$113,$B$112)),0),2)</f>
        <v>39.86</v>
      </c>
      <c r="F155">
        <f>ROUND($B$121+ROUND($B$122+MAX(0,(('Advertising'!$G$33*$B$127+'MAU &amp; Operating Metrics'!$D$39*$B$128)/1000000)-$B$123)*$B$124+MAX(0,(((('Advertising'!$G$33*$B$127+'MAU &amp; Operating Metrics'!$D$39*$B$128)/1000000)*$B$129)-$B$125))*$B$126,2),2)</f>
        <v>5</v>
      </c>
      <c r="G155">
        <f>$B$131</f>
        <v>35</v>
      </c>
      <c r="H155">
        <f>$B$130</f>
        <v>30</v>
      </c>
      <c r="I155">
        <f>ROUND(D155+E155+F155+G155+H155-J155,2)</f>
        <v>105.58</v>
      </c>
      <c r="J155">
        <f>ROUND(MAX(0,($B$103+SUM('MAU &amp; Operating Metrics'!$D$19:'MAU &amp; Operating Metrics'!$D$39)*(($B$104-$B$103)/MAX(1,SUM('MAU &amp; Operating Metrics'!$D$19:'MAU &amp; Operating Metrics'!$D$54))))-$B$106)*$B$105+MAX(0,($B$118+SUM('MAU &amp; Operating Metrics'!$D$19:'MAU &amp; Operating Metrics'!$D$39)/1000*$B$119)-$B$118)*$B$120,2)</f>
        <v>32.16</v>
      </c>
      <c r="K155">
        <f>ROUND(I155+J155,2)</f>
        <v>137.74</v>
      </c>
    </row>
    <row r="156">
      <c r="A156" t="inlineStr">
        <is>
          <t>2027-12-01</t>
        </is>
      </c>
      <c r="B156">
        <v>2</v>
      </c>
      <c r="C156" t="inlineStr">
        <is>
          <t>phase_2_marketplace_activation</t>
        </is>
      </c>
      <c r="D156">
        <f>ROUND(MAX(0,($B$103+SUM('MAU &amp; Operating Metrics'!$D$19:'MAU &amp; Operating Metrics'!$D$40)*(($B$104-$B$103)/MAX(1,SUM('MAU &amp; Operating Metrics'!$D$19:'MAU &amp; Operating Metrics'!$D$54))))-$B$106)*$B$105+('MAU &amp; Operating Metrics'!$D$40*$B$107/1000000)*$B$108+('Advertising'!$G$34*$B$109/1000000)*$B$110,2)</f>
        <v>33.88</v>
      </c>
      <c r="E156">
        <f>ROUND(($B$111+IF('MAU &amp; Operating Metrics'!$F$40&gt;=$B$116,$B$114,IF('MAU &amp; Operating Metrics'!$F$40&gt;=$B$115,$B$113,$B$112)))+MAX(0,($B$118+SUM('MAU &amp; Operating Metrics'!$D$19:'MAU &amp; Operating Metrics'!$D$40)/1000*$B$119)-$B$118)*$B$120+IF('MAU &amp; Operating Metrics'!$F$40&gt;=$B$117,IF('MAU &amp; Operating Metrics'!$F$40&gt;=$B$116,$B$114,IF('MAU &amp; Operating Metrics'!$F$40&gt;=$B$115,$B$113,$B$112)),0),2)</f>
        <v>40.89</v>
      </c>
      <c r="F156">
        <f>ROUND($B$121+ROUND($B$122+MAX(0,(('Advertising'!$G$34*$B$127+'MAU &amp; Operating Metrics'!$D$40*$B$128)/1000000)-$B$123)*$B$124+MAX(0,(((('Advertising'!$G$34*$B$127+'MAU &amp; Operating Metrics'!$D$40*$B$128)/1000000)*$B$129)-$B$125))*$B$126,2),2)</f>
        <v>5</v>
      </c>
      <c r="G156">
        <f>$B$131</f>
        <v>35</v>
      </c>
      <c r="H156">
        <f>$B$130</f>
        <v>30</v>
      </c>
      <c r="I156">
        <f>ROUND(D156+E156+F156+G156+H156-J156,2)</f>
        <v>106.09</v>
      </c>
      <c r="J156">
        <f>ROUND(MAX(0,($B$103+SUM('MAU &amp; Operating Metrics'!$D$19:'MAU &amp; Operating Metrics'!$D$40)*(($B$104-$B$103)/MAX(1,SUM('MAU &amp; Operating Metrics'!$D$19:'MAU &amp; Operating Metrics'!$D$54))))-$B$106)*$B$105+MAX(0,($B$118+SUM('MAU &amp; Operating Metrics'!$D$19:'MAU &amp; Operating Metrics'!$D$40)/1000*$B$119)-$B$118)*$B$120,2)</f>
        <v>38.68</v>
      </c>
      <c r="K156">
        <f>ROUND(I156+J156,2)</f>
        <v>144.77</v>
      </c>
    </row>
    <row r="157">
      <c r="A157" t="inlineStr">
        <is>
          <t>2028-01-01</t>
        </is>
      </c>
      <c r="B157">
        <v>2</v>
      </c>
      <c r="C157" t="inlineStr">
        <is>
          <t>phase_2_marketplace_activation</t>
        </is>
      </c>
      <c r="D157">
        <f>ROUND(MAX(0,($B$103+SUM('MAU &amp; Operating Metrics'!$D$19:'MAU &amp; Operating Metrics'!$D$41)*(($B$104-$B$103)/MAX(1,SUM('MAU &amp; Operating Metrics'!$D$19:'MAU &amp; Operating Metrics'!$D$54))))-$B$106)*$B$105+('MAU &amp; Operating Metrics'!$D$41*$B$107/1000000)*$B$108+('Advertising'!$G$35*$B$109/1000000)*$B$110,2)</f>
        <v>35.07</v>
      </c>
      <c r="E157">
        <f>ROUND(($B$111+IF('MAU &amp; Operating Metrics'!$F$41&gt;=$B$116,$B$114,IF('MAU &amp; Operating Metrics'!$F$41&gt;=$B$115,$B$113,$B$112)))+MAX(0,($B$118+SUM('MAU &amp; Operating Metrics'!$D$19:'MAU &amp; Operating Metrics'!$D$41)/1000*$B$119)-$B$118)*$B$120+IF('MAU &amp; Operating Metrics'!$F$41&gt;=$B$117,IF('MAU &amp; Operating Metrics'!$F$41&gt;=$B$116,$B$114,IF('MAU &amp; Operating Metrics'!$F$41&gt;=$B$115,$B$113,$B$112)),0),2)</f>
        <v>41.23</v>
      </c>
      <c r="F157">
        <f>ROUND($B$121+ROUND($B$122+MAX(0,(('Advertising'!$G$35*$B$127+'MAU &amp; Operating Metrics'!$D$41*$B$128)/1000000)-$B$123)*$B$124+MAX(0,(((('Advertising'!$G$35*$B$127+'MAU &amp; Operating Metrics'!$D$41*$B$128)/1000000)*$B$129)-$B$125))*$B$126,2),2)</f>
        <v>5</v>
      </c>
      <c r="G157">
        <f>$B$131</f>
        <v>35</v>
      </c>
      <c r="H157">
        <f>$B$130</f>
        <v>30</v>
      </c>
      <c r="I157">
        <f>ROUND(D157+E157+F157+G157+H157-J157,2)</f>
        <v>105.46</v>
      </c>
      <c r="J157">
        <f>ROUND(MAX(0,($B$103+SUM('MAU &amp; Operating Metrics'!$D$19:'MAU &amp; Operating Metrics'!$D$41)*(($B$104-$B$103)/MAX(1,SUM('MAU &amp; Operating Metrics'!$D$19:'MAU &amp; Operating Metrics'!$D$54))))-$B$106)*$B$105+MAX(0,($B$118+SUM('MAU &amp; Operating Metrics'!$D$19:'MAU &amp; Operating Metrics'!$D$41)/1000*$B$119)-$B$118)*$B$120,2)</f>
        <v>40.84</v>
      </c>
      <c r="K157">
        <f>ROUND(I157+J157,2)</f>
        <v>146.3</v>
      </c>
    </row>
    <row r="158">
      <c r="A158" t="inlineStr">
        <is>
          <t>2028-02-01</t>
        </is>
      </c>
      <c r="B158">
        <v>2</v>
      </c>
      <c r="C158" t="inlineStr">
        <is>
          <t>phase_2_marketplace_activation</t>
        </is>
      </c>
      <c r="D158">
        <f>ROUND(MAX(0,($B$103+SUM('MAU &amp; Operating Metrics'!$D$19:'MAU &amp; Operating Metrics'!$D$42)*(($B$104-$B$103)/MAX(1,SUM('MAU &amp; Operating Metrics'!$D$19:'MAU &amp; Operating Metrics'!$D$54))))-$B$106)*$B$105+('MAU &amp; Operating Metrics'!$D$42*$B$107/1000000)*$B$108+('Advertising'!$G$36*$B$109/1000000)*$B$110,2)</f>
        <v>37.5</v>
      </c>
      <c r="E158">
        <f>ROUND(($B$111+IF('MAU &amp; Operating Metrics'!$F$42&gt;=$B$116,$B$114,IF('MAU &amp; Operating Metrics'!$F$42&gt;=$B$115,$B$113,$B$112)))+MAX(0,($B$118+SUM('MAU &amp; Operating Metrics'!$D$19:'MAU &amp; Operating Metrics'!$D$42)/1000*$B$119)-$B$118)*$B$120+IF('MAU &amp; Operating Metrics'!$F$42&gt;=$B$117,IF('MAU &amp; Operating Metrics'!$F$42&gt;=$B$116,$B$114,IF('MAU &amp; Operating Metrics'!$F$42&gt;=$B$115,$B$113,$B$112)),0),2)</f>
        <v>41.68</v>
      </c>
      <c r="F158">
        <f>ROUND($B$121+ROUND($B$122+MAX(0,(('Advertising'!$G$36*$B$127+'MAU &amp; Operating Metrics'!$D$42*$B$128)/1000000)-$B$123)*$B$124+MAX(0,(((('Advertising'!$G$36*$B$127+'MAU &amp; Operating Metrics'!$D$42*$B$128)/1000000)*$B$129)-$B$125))*$B$126,2),2)</f>
        <v>5</v>
      </c>
      <c r="G158">
        <f>$B$131</f>
        <v>35</v>
      </c>
      <c r="H158">
        <f>$B$130</f>
        <v>30</v>
      </c>
      <c r="I158">
        <f>ROUND(D158+E158+F158+G158+H158-J158,2)</f>
        <v>105.54</v>
      </c>
      <c r="J158">
        <f>ROUND(MAX(0,($B$103+SUM('MAU &amp; Operating Metrics'!$D$19:'MAU &amp; Operating Metrics'!$D$42)*(($B$104-$B$103)/MAX(1,SUM('MAU &amp; Operating Metrics'!$D$19:'MAU &amp; Operating Metrics'!$D$54))))-$B$106)*$B$105+MAX(0,($B$118+SUM('MAU &amp; Operating Metrics'!$D$19:'MAU &amp; Operating Metrics'!$D$42)/1000*$B$119)-$B$118)*$B$120,2)</f>
        <v>43.64</v>
      </c>
      <c r="K158">
        <f>ROUND(I158+J158,2)</f>
        <v>149.18</v>
      </c>
    </row>
    <row r="159">
      <c r="A159" t="inlineStr">
        <is>
          <t>2028-03-01</t>
        </is>
      </c>
      <c r="B159">
        <v>3</v>
      </c>
      <c r="C159" t="inlineStr">
        <is>
          <t>phase_3_projection</t>
        </is>
      </c>
      <c r="D159">
        <f>ROUND(MAX(0,($B$103+SUM('MAU &amp; Operating Metrics'!$D$19:'MAU &amp; Operating Metrics'!$D$43)*(($B$104-$B$103)/MAX(1,SUM('MAU &amp; Operating Metrics'!$D$19:'MAU &amp; Operating Metrics'!$D$54))))-$B$106)*$B$105+('MAU &amp; Operating Metrics'!$D$43*$B$107/1000000)*$B$108+('Advertising'!$G$37*$B$109/1000000)*$B$110,2)</f>
        <v>39.57</v>
      </c>
      <c r="E159">
        <f>ROUND(($B$111+IF('MAU &amp; Operating Metrics'!$F$43&gt;=$B$116,$B$114,IF('MAU &amp; Operating Metrics'!$F$43&gt;=$B$115,$B$113,$B$112)))+MAX(0,($B$118+SUM('MAU &amp; Operating Metrics'!$D$19:'MAU &amp; Operating Metrics'!$D$43)/1000*$B$119)-$B$118)*$B$120+IF('MAU &amp; Operating Metrics'!$F$43&gt;=$B$117,IF('MAU &amp; Operating Metrics'!$F$43&gt;=$B$116,$B$114,IF('MAU &amp; Operating Metrics'!$F$43&gt;=$B$115,$B$113,$B$112)),0),2)</f>
        <v>42.07</v>
      </c>
      <c r="F159">
        <f>ROUND($B$121+ROUND($B$122+MAX(0,(('Advertising'!$G$37*$B$127+'MAU &amp; Operating Metrics'!$D$43*$B$128)/1000000)-$B$123)*$B$124+MAX(0,(((('Advertising'!$G$37*$B$127+'MAU &amp; Operating Metrics'!$D$43*$B$128)/1000000)*$B$129)-$B$125))*$B$126,2),2)</f>
        <v>5</v>
      </c>
      <c r="G159">
        <f>$B$131</f>
        <v>35</v>
      </c>
      <c r="H159">
        <f>$B$130</f>
        <v>30</v>
      </c>
      <c r="I159">
        <f>ROUND(D159+E159+F159+G159+H159-J159,2)</f>
        <v>105.49</v>
      </c>
      <c r="J159">
        <f>ROUND(MAX(0,($B$103+SUM('MAU &amp; Operating Metrics'!$D$19:'MAU &amp; Operating Metrics'!$D$43)*(($B$104-$B$103)/MAX(1,SUM('MAU &amp; Operating Metrics'!$D$19:'MAU &amp; Operating Metrics'!$D$54))))-$B$106)*$B$105+MAX(0,($B$118+SUM('MAU &amp; Operating Metrics'!$D$19:'MAU &amp; Operating Metrics'!$D$43)/1000*$B$119)-$B$118)*$B$120,2)</f>
        <v>46.15</v>
      </c>
      <c r="K159">
        <f>ROUND(I159+J159,2)</f>
        <v>151.64</v>
      </c>
    </row>
    <row r="160">
      <c r="A160" t="inlineStr">
        <is>
          <t>2028-04-01</t>
        </is>
      </c>
      <c r="B160">
        <v>3</v>
      </c>
      <c r="C160" t="inlineStr">
        <is>
          <t>phase_3_projection</t>
        </is>
      </c>
      <c r="D160">
        <f>ROUND(MAX(0,($B$103+SUM('MAU &amp; Operating Metrics'!$D$19:'MAU &amp; Operating Metrics'!$D$44)*(($B$104-$B$103)/MAX(1,SUM('MAU &amp; Operating Metrics'!$D$19:'MAU &amp; Operating Metrics'!$D$54))))-$B$106)*$B$105+('MAU &amp; Operating Metrics'!$D$44*$B$107/1000000)*$B$108+('Advertising'!$G$38*$B$109/1000000)*$B$110,2)</f>
        <v>41.78</v>
      </c>
      <c r="E160">
        <f>ROUND(($B$111+IF('MAU &amp; Operating Metrics'!$F$44&gt;=$B$116,$B$114,IF('MAU &amp; Operating Metrics'!$F$44&gt;=$B$115,$B$113,$B$112)))+MAX(0,($B$118+SUM('MAU &amp; Operating Metrics'!$D$19:'MAU &amp; Operating Metrics'!$D$44)/1000*$B$119)-$B$118)*$B$120+IF('MAU &amp; Operating Metrics'!$F$44&gt;=$B$117,IF('MAU &amp; Operating Metrics'!$F$44&gt;=$B$116,$B$114,IF('MAU &amp; Operating Metrics'!$F$44&gt;=$B$115,$B$113,$B$112)),0),2)</f>
        <v>42.48</v>
      </c>
      <c r="F160">
        <f>ROUND($B$121+ROUND($B$122+MAX(0,(('Advertising'!$G$38*$B$127+'MAU &amp; Operating Metrics'!$D$44*$B$128)/1000000)-$B$123)*$B$124+MAX(0,(((('Advertising'!$G$38*$B$127+'MAU &amp; Operating Metrics'!$D$44*$B$128)/1000000)*$B$129)-$B$125))*$B$126,2),2)</f>
        <v>5</v>
      </c>
      <c r="G160">
        <f>$B$131</f>
        <v>35</v>
      </c>
      <c r="H160">
        <f>$B$130</f>
        <v>30</v>
      </c>
      <c r="I160">
        <f>ROUND(D160+E160+F160+G160+H160-J160,2)</f>
        <v>105.51</v>
      </c>
      <c r="J160">
        <f>ROUND(MAX(0,($B$103+SUM('MAU &amp; Operating Metrics'!$D$19:'MAU &amp; Operating Metrics'!$D$44)*(($B$104-$B$103)/MAX(1,SUM('MAU &amp; Operating Metrics'!$D$19:'MAU &amp; Operating Metrics'!$D$54))))-$B$106)*$B$105+MAX(0,($B$118+SUM('MAU &amp; Operating Metrics'!$D$19:'MAU &amp; Operating Metrics'!$D$44)/1000*$B$119)-$B$118)*$B$120,2)</f>
        <v>48.75</v>
      </c>
      <c r="K160">
        <f>ROUND(I160+J160,2)</f>
        <v>154.26</v>
      </c>
    </row>
    <row r="161">
      <c r="A161" t="inlineStr">
        <is>
          <t>2028-05-01</t>
        </is>
      </c>
      <c r="B161">
        <v>3</v>
      </c>
      <c r="C161" t="inlineStr">
        <is>
          <t>phase_3_projection</t>
        </is>
      </c>
      <c r="D161">
        <f>ROUND(MAX(0,($B$103+SUM('MAU &amp; Operating Metrics'!$D$19:'MAU &amp; Operating Metrics'!$D$45)*(($B$104-$B$103)/MAX(1,SUM('MAU &amp; Operating Metrics'!$D$19:'MAU &amp; Operating Metrics'!$D$54))))-$B$106)*$B$105+('MAU &amp; Operating Metrics'!$D$45*$B$107/1000000)*$B$108+('Advertising'!$G$39*$B$109/1000000)*$B$110,2)</f>
        <v>44.55</v>
      </c>
      <c r="E161">
        <f>ROUND(($B$111+IF('MAU &amp; Operating Metrics'!$F$45&gt;=$B$116,$B$114,IF('MAU &amp; Operating Metrics'!$F$45&gt;=$B$115,$B$113,$B$112)))+MAX(0,($B$118+SUM('MAU &amp; Operating Metrics'!$D$19:'MAU &amp; Operating Metrics'!$D$45)/1000*$B$119)-$B$118)*$B$120+IF('MAU &amp; Operating Metrics'!$F$45&gt;=$B$117,IF('MAU &amp; Operating Metrics'!$F$45&gt;=$B$116,$B$114,IF('MAU &amp; Operating Metrics'!$F$45&gt;=$B$115,$B$113,$B$112)),0),2)</f>
        <v>42.99</v>
      </c>
      <c r="F161">
        <f>ROUND($B$121+ROUND($B$122+MAX(0,(('Advertising'!$G$39*$B$127+'MAU &amp; Operating Metrics'!$D$45*$B$128)/1000000)-$B$123)*$B$124+MAX(0,(((('Advertising'!$G$39*$B$127+'MAU &amp; Operating Metrics'!$D$45*$B$128)/1000000)*$B$129)-$B$125))*$B$126,2),2)</f>
        <v>5</v>
      </c>
      <c r="G161">
        <f>$B$131</f>
        <v>35</v>
      </c>
      <c r="H161">
        <f>$B$130</f>
        <v>30</v>
      </c>
      <c r="I161">
        <f>ROUND(D161+E161+F161+G161+H161-J161,2)</f>
        <v>105.6</v>
      </c>
      <c r="J161">
        <f>ROUND(MAX(0,($B$103+SUM('MAU &amp; Operating Metrics'!$D$19:'MAU &amp; Operating Metrics'!$D$45)*(($B$104-$B$103)/MAX(1,SUM('MAU &amp; Operating Metrics'!$D$19:'MAU &amp; Operating Metrics'!$D$54))))-$B$106)*$B$105+MAX(0,($B$118+SUM('MAU &amp; Operating Metrics'!$D$19:'MAU &amp; Operating Metrics'!$D$45)/1000*$B$119)-$B$118)*$B$120,2)</f>
        <v>51.94</v>
      </c>
      <c r="K161">
        <f>ROUND(I161+J161,2)</f>
        <v>157.54</v>
      </c>
    </row>
    <row r="162">
      <c r="A162" t="inlineStr">
        <is>
          <t>2028-06-01</t>
        </is>
      </c>
      <c r="B162">
        <v>3</v>
      </c>
      <c r="C162" t="inlineStr">
        <is>
          <t>phase_3_projection</t>
        </is>
      </c>
      <c r="D162">
        <f>ROUND(MAX(0,($B$103+SUM('MAU &amp; Operating Metrics'!$D$19:'MAU &amp; Operating Metrics'!$D$46)*(($B$104-$B$103)/MAX(1,SUM('MAU &amp; Operating Metrics'!$D$19:'MAU &amp; Operating Metrics'!$D$54))))-$B$106)*$B$105+('MAU &amp; Operating Metrics'!$D$46*$B$107/1000000)*$B$108+('Advertising'!$G$40*$B$109/1000000)*$B$110,2)</f>
        <v>46.91</v>
      </c>
      <c r="E162">
        <f>ROUND(($B$111+IF('MAU &amp; Operating Metrics'!$F$46&gt;=$B$116,$B$114,IF('MAU &amp; Operating Metrics'!$F$46&gt;=$B$115,$B$113,$B$112)))+MAX(0,($B$118+SUM('MAU &amp; Operating Metrics'!$D$19:'MAU &amp; Operating Metrics'!$D$46)/1000*$B$119)-$B$118)*$B$120+IF('MAU &amp; Operating Metrics'!$F$46&gt;=$B$117,IF('MAU &amp; Operating Metrics'!$F$46&gt;=$B$116,$B$114,IF('MAU &amp; Operating Metrics'!$F$46&gt;=$B$115,$B$113,$B$112)),0),2)</f>
        <v>43.43</v>
      </c>
      <c r="F162">
        <f>ROUND($B$121+ROUND($B$122+MAX(0,(('Advertising'!$G$40*$B$127+'MAU &amp; Operating Metrics'!$D$46*$B$128)/1000000)-$B$123)*$B$124+MAX(0,(((('Advertising'!$G$40*$B$127+'MAU &amp; Operating Metrics'!$D$46*$B$128)/1000000)*$B$129)-$B$125))*$B$126,2),2)</f>
        <v>5</v>
      </c>
      <c r="G162">
        <f>$B$131</f>
        <v>35</v>
      </c>
      <c r="H162">
        <f>$B$130</f>
        <v>30</v>
      </c>
      <c r="I162">
        <f>ROUND(D162+E162+F162+G162+H162-J162,2)</f>
        <v>105.56</v>
      </c>
      <c r="J162">
        <f>ROUND(MAX(0,($B$103+SUM('MAU &amp; Operating Metrics'!$D$19:'MAU &amp; Operating Metrics'!$D$46)*(($B$104-$B$103)/MAX(1,SUM('MAU &amp; Operating Metrics'!$D$19:'MAU &amp; Operating Metrics'!$D$54))))-$B$106)*$B$105+MAX(0,($B$118+SUM('MAU &amp; Operating Metrics'!$D$19:'MAU &amp; Operating Metrics'!$D$46)/1000*$B$119)-$B$118)*$B$120,2)</f>
        <v>54.78</v>
      </c>
      <c r="K162">
        <f>ROUND(I162+J162,2)</f>
        <v>160.34</v>
      </c>
    </row>
    <row r="163">
      <c r="A163" t="inlineStr">
        <is>
          <t>2028-07-01</t>
        </is>
      </c>
      <c r="B163">
        <v>3</v>
      </c>
      <c r="C163" t="inlineStr">
        <is>
          <t>phase_3_projection</t>
        </is>
      </c>
      <c r="D163">
        <f>ROUND(MAX(0,($B$103+SUM('MAU &amp; Operating Metrics'!$D$19:'MAU &amp; Operating Metrics'!$D$47)*(($B$104-$B$103)/MAX(1,SUM('MAU &amp; Operating Metrics'!$D$19:'MAU &amp; Operating Metrics'!$D$54))))-$B$106)*$B$105+('MAU &amp; Operating Metrics'!$D$47*$B$107/1000000)*$B$108+('Advertising'!$G$41*$B$109/1000000)*$B$110,2)</f>
        <v>49.41</v>
      </c>
      <c r="E163">
        <f>ROUND(($B$111+IF('MAU &amp; Operating Metrics'!$F$47&gt;=$B$116,$B$114,IF('MAU &amp; Operating Metrics'!$F$47&gt;=$B$115,$B$113,$B$112)))+MAX(0,($B$118+SUM('MAU &amp; Operating Metrics'!$D$19:'MAU &amp; Operating Metrics'!$D$47)/1000*$B$119)-$B$118)*$B$120+IF('MAU &amp; Operating Metrics'!$F$47&gt;=$B$117,IF('MAU &amp; Operating Metrics'!$F$47&gt;=$B$116,$B$114,IF('MAU &amp; Operating Metrics'!$F$47&gt;=$B$115,$B$113,$B$112)),0),2)</f>
        <v>43.9</v>
      </c>
      <c r="F163">
        <f>ROUND($B$121+ROUND($B$122+MAX(0,(('Advertising'!$G$41*$B$127+'MAU &amp; Operating Metrics'!$D$47*$B$128)/1000000)-$B$123)*$B$124+MAX(0,(((('Advertising'!$G$41*$B$127+'MAU &amp; Operating Metrics'!$D$47*$B$128)/1000000)*$B$129)-$B$125))*$B$126,2),2)</f>
        <v>5</v>
      </c>
      <c r="G163">
        <f>$B$131</f>
        <v>35</v>
      </c>
      <c r="H163">
        <f>$B$130</f>
        <v>30</v>
      </c>
      <c r="I163">
        <f>ROUND(D163+E163+F163+G163+H163-J163,2)</f>
        <v>105.58</v>
      </c>
      <c r="J163">
        <f>ROUND(MAX(0,($B$103+SUM('MAU &amp; Operating Metrics'!$D$19:'MAU &amp; Operating Metrics'!$D$47)*(($B$104-$B$103)/MAX(1,SUM('MAU &amp; Operating Metrics'!$D$19:'MAU &amp; Operating Metrics'!$D$54))))-$B$106)*$B$105+MAX(0,($B$118+SUM('MAU &amp; Operating Metrics'!$D$19:'MAU &amp; Operating Metrics'!$D$47)/1000*$B$119)-$B$118)*$B$120,2)</f>
        <v>57.73</v>
      </c>
      <c r="K163">
        <f>ROUND(I163+J163,2)</f>
        <v>163.31</v>
      </c>
    </row>
    <row r="164">
      <c r="A164" t="inlineStr">
        <is>
          <t>2028-08-01</t>
        </is>
      </c>
      <c r="B164">
        <v>3</v>
      </c>
      <c r="C164" t="inlineStr">
        <is>
          <t>phase_3_projection</t>
        </is>
      </c>
      <c r="D164">
        <f>ROUND(MAX(0,($B$103+SUM('MAU &amp; Operating Metrics'!$D$19:'MAU &amp; Operating Metrics'!$D$48)*(($B$104-$B$103)/MAX(1,SUM('MAU &amp; Operating Metrics'!$D$19:'MAU &amp; Operating Metrics'!$D$54))))-$B$106)*$B$105+('MAU &amp; Operating Metrics'!$D$48*$B$107/1000000)*$B$108+('Advertising'!$G$42*$B$109/1000000)*$B$110,2)</f>
        <v>51.98</v>
      </c>
      <c r="E164">
        <f>ROUND(($B$111+IF('MAU &amp; Operating Metrics'!$F$48&gt;=$B$116,$B$114,IF('MAU &amp; Operating Metrics'!$F$48&gt;=$B$115,$B$113,$B$112)))+MAX(0,($B$118+SUM('MAU &amp; Operating Metrics'!$D$19:'MAU &amp; Operating Metrics'!$D$48)/1000*$B$119)-$B$118)*$B$120+IF('MAU &amp; Operating Metrics'!$F$48&gt;=$B$117,IF('MAU &amp; Operating Metrics'!$F$48&gt;=$B$116,$B$114,IF('MAU &amp; Operating Metrics'!$F$48&gt;=$B$115,$B$113,$B$112)),0),2)</f>
        <v>44.38</v>
      </c>
      <c r="F164">
        <f>ROUND($B$121+ROUND($B$122+MAX(0,(('Advertising'!$G$42*$B$127+'MAU &amp; Operating Metrics'!$D$48*$B$128)/1000000)-$B$123)*$B$124+MAX(0,(((('Advertising'!$G$42*$B$127+'MAU &amp; Operating Metrics'!$D$48*$B$128)/1000000)*$B$129)-$B$125))*$B$126,2),2)</f>
        <v>5</v>
      </c>
      <c r="G164">
        <f>$B$131</f>
        <v>35</v>
      </c>
      <c r="H164">
        <f>$B$130</f>
        <v>30</v>
      </c>
      <c r="I164">
        <f>ROUND(D164+E164+F164+G164+H164-J164,2)</f>
        <v>105.59</v>
      </c>
      <c r="J164">
        <f>ROUND(MAX(0,($B$103+SUM('MAU &amp; Operating Metrics'!$D$19:'MAU &amp; Operating Metrics'!$D$48)*(($B$104-$B$103)/MAX(1,SUM('MAU &amp; Operating Metrics'!$D$19:'MAU &amp; Operating Metrics'!$D$54))))-$B$106)*$B$105+MAX(0,($B$118+SUM('MAU &amp; Operating Metrics'!$D$19:'MAU &amp; Operating Metrics'!$D$48)/1000*$B$119)-$B$118)*$B$120,2)</f>
        <v>60.77</v>
      </c>
      <c r="K164">
        <f>ROUND(I164+J164,2)</f>
        <v>166.36</v>
      </c>
    </row>
    <row r="165">
      <c r="A165" t="inlineStr">
        <is>
          <t>2028-09-01</t>
        </is>
      </c>
      <c r="B165">
        <v>3</v>
      </c>
      <c r="C165" t="inlineStr">
        <is>
          <t>phase_3_projection</t>
        </is>
      </c>
      <c r="D165">
        <f>ROUND(MAX(0,($B$103+SUM('MAU &amp; Operating Metrics'!$D$19:'MAU &amp; Operating Metrics'!$D$49)*(($B$104-$B$103)/MAX(1,SUM('MAU &amp; Operating Metrics'!$D$19:'MAU &amp; Operating Metrics'!$D$54))))-$B$106)*$B$105+('MAU &amp; Operating Metrics'!$D$49*$B$107/1000000)*$B$108+('Advertising'!$G$43*$B$109/1000000)*$B$110,2)</f>
        <v>54.48</v>
      </c>
      <c r="E165">
        <f>ROUND(($B$111+IF('MAU &amp; Operating Metrics'!$F$49&gt;=$B$116,$B$114,IF('MAU &amp; Operating Metrics'!$F$49&gt;=$B$115,$B$113,$B$112)))+MAX(0,($B$118+SUM('MAU &amp; Operating Metrics'!$D$19:'MAU &amp; Operating Metrics'!$D$49)/1000*$B$119)-$B$118)*$B$120+IF('MAU &amp; Operating Metrics'!$F$49&gt;=$B$117,IF('MAU &amp; Operating Metrics'!$F$49&gt;=$B$116,$B$114,IF('MAU &amp; Operating Metrics'!$F$49&gt;=$B$115,$B$113,$B$112)),0),2)</f>
        <v>44.85</v>
      </c>
      <c r="F165">
        <f>ROUND($B$121+ROUND($B$122+MAX(0,(('Advertising'!$G$43*$B$127+'MAU &amp; Operating Metrics'!$D$49*$B$128)/1000000)-$B$123)*$B$124+MAX(0,(((('Advertising'!$G$43*$B$127+'MAU &amp; Operating Metrics'!$D$49*$B$128)/1000000)*$B$129)-$B$125))*$B$126,2),2)</f>
        <v>5</v>
      </c>
      <c r="G165">
        <f>$B$131</f>
        <v>35</v>
      </c>
      <c r="H165">
        <f>$B$130</f>
        <v>30</v>
      </c>
      <c r="I165">
        <f>ROUND(D165+E165+F165+G165+H165-J165,2)</f>
        <v>105.59</v>
      </c>
      <c r="J165">
        <f>ROUND(MAX(0,($B$103+SUM('MAU &amp; Operating Metrics'!$D$19:'MAU &amp; Operating Metrics'!$D$49)*(($B$104-$B$103)/MAX(1,SUM('MAU &amp; Operating Metrics'!$D$19:'MAU &amp; Operating Metrics'!$D$54))))-$B$106)*$B$105+MAX(0,($B$118+SUM('MAU &amp; Operating Metrics'!$D$19:'MAU &amp; Operating Metrics'!$D$49)/1000*$B$119)-$B$118)*$B$120,2)</f>
        <v>63.74</v>
      </c>
      <c r="K165">
        <f>ROUND(I165+J165,2)</f>
        <v>169.33</v>
      </c>
    </row>
    <row r="166">
      <c r="A166" t="inlineStr">
        <is>
          <t>2028-10-01</t>
        </is>
      </c>
      <c r="B166">
        <v>3</v>
      </c>
      <c r="C166" t="inlineStr">
        <is>
          <t>phase_3_projection</t>
        </is>
      </c>
      <c r="D166">
        <f>ROUND(MAX(0,($B$103+SUM('MAU &amp; Operating Metrics'!$D$19:'MAU &amp; Operating Metrics'!$D$50)*(($B$104-$B$103)/MAX(1,SUM('MAU &amp; Operating Metrics'!$D$19:'MAU &amp; Operating Metrics'!$D$54))))-$B$106)*$B$105+('MAU &amp; Operating Metrics'!$D$50*$B$107/1000000)*$B$108+('Advertising'!$G$44*$B$109/1000000)*$B$110,2)</f>
        <v>57.28</v>
      </c>
      <c r="E166">
        <f>ROUND(($B$111+IF('MAU &amp; Operating Metrics'!$F$50&gt;=$B$116,$B$114,IF('MAU &amp; Operating Metrics'!$F$50&gt;=$B$115,$B$113,$B$112)))+MAX(0,($B$118+SUM('MAU &amp; Operating Metrics'!$D$19:'MAU &amp; Operating Metrics'!$D$50)/1000*$B$119)-$B$118)*$B$120+IF('MAU &amp; Operating Metrics'!$F$50&gt;=$B$117,IF('MAU &amp; Operating Metrics'!$F$50&gt;=$B$116,$B$114,IF('MAU &amp; Operating Metrics'!$F$50&gt;=$B$115,$B$113,$B$112)),0),2)</f>
        <v>45.36</v>
      </c>
      <c r="F166">
        <f>ROUND($B$121+ROUND($B$122+MAX(0,(('Advertising'!$G$44*$B$127+'MAU &amp; Operating Metrics'!$D$50*$B$128)/1000000)-$B$123)*$B$124+MAX(0,(((('Advertising'!$G$44*$B$127+'MAU &amp; Operating Metrics'!$D$50*$B$128)/1000000)*$B$129)-$B$125))*$B$126,2),2)</f>
        <v>5</v>
      </c>
      <c r="G166">
        <f>$B$131</f>
        <v>35</v>
      </c>
      <c r="H166">
        <f>$B$130</f>
        <v>30</v>
      </c>
      <c r="I166">
        <f>ROUND(D166+E166+F166+G166+H166-J166,2)</f>
        <v>105.64</v>
      </c>
      <c r="J166">
        <f>ROUND(MAX(0,($B$103+SUM('MAU &amp; Operating Metrics'!$D$19:'MAU &amp; Operating Metrics'!$D$50)*(($B$104-$B$103)/MAX(1,SUM('MAU &amp; Operating Metrics'!$D$19:'MAU &amp; Operating Metrics'!$D$54))))-$B$106)*$B$105+MAX(0,($B$118+SUM('MAU &amp; Operating Metrics'!$D$19:'MAU &amp; Operating Metrics'!$D$50)/1000*$B$119)-$B$118)*$B$120,2)</f>
        <v>67</v>
      </c>
      <c r="K166">
        <f>ROUND(I166+J166,2)</f>
        <v>172.64</v>
      </c>
    </row>
    <row r="167">
      <c r="A167" t="inlineStr">
        <is>
          <t>2028-11-01</t>
        </is>
      </c>
      <c r="B167">
        <v>3</v>
      </c>
      <c r="C167" t="inlineStr">
        <is>
          <t>phase_3_projection</t>
        </is>
      </c>
      <c r="D167">
        <f>ROUND(MAX(0,($B$103+SUM('MAU &amp; Operating Metrics'!$D$19:'MAU &amp; Operating Metrics'!$D$51)*(($B$104-$B$103)/MAX(1,SUM('MAU &amp; Operating Metrics'!$D$19:'MAU &amp; Operating Metrics'!$D$54))))-$B$106)*$B$105+('MAU &amp; Operating Metrics'!$D$51*$B$107/1000000)*$B$108+('Advertising'!$G$45*$B$109/1000000)*$B$110,2)</f>
        <v>61.76</v>
      </c>
      <c r="E167">
        <f>ROUND(($B$111+IF('MAU &amp; Operating Metrics'!$F$51&gt;=$B$116,$B$114,IF('MAU &amp; Operating Metrics'!$F$51&gt;=$B$115,$B$113,$B$112)))+MAX(0,($B$118+SUM('MAU &amp; Operating Metrics'!$D$19:'MAU &amp; Operating Metrics'!$D$51)/1000*$B$119)-$B$118)*$B$120+IF('MAU &amp; Operating Metrics'!$F$51&gt;=$B$117,IF('MAU &amp; Operating Metrics'!$F$51&gt;=$B$116,$B$114,IF('MAU &amp; Operating Metrics'!$F$51&gt;=$B$115,$B$113,$B$112)),0),2)</f>
        <v>46.15</v>
      </c>
      <c r="F167">
        <f>ROUND($B$121+ROUND($B$122+MAX(0,(('Advertising'!$G$45*$B$127+'MAU &amp; Operating Metrics'!$D$51*$B$128)/1000000)-$B$123)*$B$124+MAX(0,(((('Advertising'!$G$45*$B$127+'MAU &amp; Operating Metrics'!$D$51*$B$128)/1000000)*$B$129)-$B$125))*$B$126,2),2)</f>
        <v>5</v>
      </c>
      <c r="G167">
        <f>$B$131</f>
        <v>35</v>
      </c>
      <c r="H167">
        <f>$B$130</f>
        <v>30</v>
      </c>
      <c r="I167">
        <f>ROUND(D167+E167+F167+G167+H167-J167,2)</f>
        <v>105.91</v>
      </c>
      <c r="J167">
        <f>ROUND(MAX(0,($B$103+SUM('MAU &amp; Operating Metrics'!$D$19:'MAU &amp; Operating Metrics'!$D$51)*(($B$104-$B$103)/MAX(1,SUM('MAU &amp; Operating Metrics'!$D$19:'MAU &amp; Operating Metrics'!$D$54))))-$B$106)*$B$105+MAX(0,($B$118+SUM('MAU &amp; Operating Metrics'!$D$19:'MAU &amp; Operating Metrics'!$D$51)/1000*$B$119)-$B$118)*$B$120,2)</f>
        <v>72</v>
      </c>
      <c r="K167">
        <f>ROUND(I167+J167,2)</f>
        <v>177.91</v>
      </c>
    </row>
    <row r="168">
      <c r="A168" t="inlineStr">
        <is>
          <t>2028-12-01</t>
        </is>
      </c>
      <c r="B168">
        <v>3</v>
      </c>
      <c r="C168" t="inlineStr">
        <is>
          <t>phase_3_projection</t>
        </is>
      </c>
      <c r="D168">
        <f>ROUND(MAX(0,($B$103+SUM('MAU &amp; Operating Metrics'!$D$19:'MAU &amp; Operating Metrics'!$D$52)*(($B$104-$B$103)/MAX(1,SUM('MAU &amp; Operating Metrics'!$D$19:'MAU &amp; Operating Metrics'!$D$54))))-$B$106)*$B$105+('MAU &amp; Operating Metrics'!$D$52*$B$107/1000000)*$B$108+('Advertising'!$G$46*$B$109/1000000)*$B$110,2)</f>
        <v>70.38</v>
      </c>
      <c r="E168">
        <f>ROUND(($B$111+IF('MAU &amp; Operating Metrics'!$F$52&gt;=$B$116,$B$114,IF('MAU &amp; Operating Metrics'!$F$52&gt;=$B$115,$B$113,$B$112)))+MAX(0,($B$118+SUM('MAU &amp; Operating Metrics'!$D$19:'MAU &amp; Operating Metrics'!$D$52)/1000*$B$119)-$B$118)*$B$120+IF('MAU &amp; Operating Metrics'!$F$52&gt;=$B$117,IF('MAU &amp; Operating Metrics'!$F$52&gt;=$B$116,$B$114,IF('MAU &amp; Operating Metrics'!$F$52&gt;=$B$115,$B$113,$B$112)),0),2)</f>
        <v>47.64</v>
      </c>
      <c r="F168">
        <f>ROUND($B$121+ROUND($B$122+MAX(0,(('Advertising'!$G$46*$B$127+'MAU &amp; Operating Metrics'!$D$52*$B$128)/1000000)-$B$123)*$B$124+MAX(0,(((('Advertising'!$G$46*$B$127+'MAU &amp; Operating Metrics'!$D$52*$B$128)/1000000)*$B$129)-$B$125))*$B$126,2),2)</f>
        <v>5</v>
      </c>
      <c r="G168">
        <f>$B$131</f>
        <v>35</v>
      </c>
      <c r="H168">
        <f>$B$130</f>
        <v>30</v>
      </c>
      <c r="I168">
        <f>ROUND(D168+E168+F168+G168+H168-J168,2)</f>
        <v>106.61</v>
      </c>
      <c r="J168">
        <f>ROUND(MAX(0,($B$103+SUM('MAU &amp; Operating Metrics'!$D$19:'MAU &amp; Operating Metrics'!$D$52)*(($B$104-$B$103)/MAX(1,SUM('MAU &amp; Operating Metrics'!$D$19:'MAU &amp; Operating Metrics'!$D$54))))-$B$106)*$B$105+MAX(0,($B$118+SUM('MAU &amp; Operating Metrics'!$D$19:'MAU &amp; Operating Metrics'!$D$52)/1000*$B$119)-$B$118)*$B$120,2)</f>
        <v>81.41</v>
      </c>
      <c r="K168">
        <f>ROUND(I168+J168,2)</f>
        <v>188.02</v>
      </c>
    </row>
    <row r="169">
      <c r="A169" t="inlineStr">
        <is>
          <t>2029-01-01</t>
        </is>
      </c>
      <c r="B169">
        <v>3</v>
      </c>
      <c r="C169" t="inlineStr">
        <is>
          <t>phase_3_projection</t>
        </is>
      </c>
      <c r="D169">
        <f>ROUND(MAX(0,($B$103+SUM('MAU &amp; Operating Metrics'!$D$19:'MAU &amp; Operating Metrics'!$D$53)*(($B$104-$B$103)/MAX(1,SUM('MAU &amp; Operating Metrics'!$D$19:'MAU &amp; Operating Metrics'!$D$54))))-$B$106)*$B$105+('MAU &amp; Operating Metrics'!$D$53*$B$107/1000000)*$B$108+('Advertising'!$G$47*$B$109/1000000)*$B$110,2)</f>
        <v>72.12</v>
      </c>
      <c r="E169">
        <f>ROUND(($B$111+IF('MAU &amp; Operating Metrics'!$F$53&gt;=$B$116,$B$114,IF('MAU &amp; Operating Metrics'!$F$53&gt;=$B$115,$B$113,$B$112)))+MAX(0,($B$118+SUM('MAU &amp; Operating Metrics'!$D$19:'MAU &amp; Operating Metrics'!$D$53)/1000*$B$119)-$B$118)*$B$120+IF('MAU &amp; Operating Metrics'!$F$53&gt;=$B$117,IF('MAU &amp; Operating Metrics'!$F$53&gt;=$B$116,$B$114,IF('MAU &amp; Operating Metrics'!$F$53&gt;=$B$115,$B$113,$B$112)),0),2)</f>
        <v>48.13</v>
      </c>
      <c r="F169">
        <f>ROUND($B$121+ROUND($B$122+MAX(0,(('Advertising'!$G$47*$B$127+'MAU &amp; Operating Metrics'!$D$53*$B$128)/1000000)-$B$123)*$B$124+MAX(0,(((('Advertising'!$G$47*$B$127+'MAU &amp; Operating Metrics'!$D$53*$B$128)/1000000)*$B$129)-$B$125))*$B$126,2),2)</f>
        <v>5</v>
      </c>
      <c r="G169">
        <f>$B$131</f>
        <v>35</v>
      </c>
      <c r="H169">
        <f>$B$130</f>
        <v>30</v>
      </c>
      <c r="I169">
        <f>ROUND(D169+E169+F169+G169+H169-J169,2)</f>
        <v>105.7</v>
      </c>
      <c r="J169">
        <f>ROUND(MAX(0,($B$103+SUM('MAU &amp; Operating Metrics'!$D$19:'MAU &amp; Operating Metrics'!$D$53)*(($B$104-$B$103)/MAX(1,SUM('MAU &amp; Operating Metrics'!$D$19:'MAU &amp; Operating Metrics'!$D$54))))-$B$106)*$B$105+MAX(0,($B$118+SUM('MAU &amp; Operating Metrics'!$D$19:'MAU &amp; Operating Metrics'!$D$53)/1000*$B$119)-$B$118)*$B$120,2)</f>
        <v>84.55</v>
      </c>
      <c r="K169">
        <f>ROUND(I169+J169,2)</f>
        <v>190.25</v>
      </c>
    </row>
    <row r="170">
      <c r="A170" t="inlineStr">
        <is>
          <t>2029-02-01</t>
        </is>
      </c>
      <c r="B170">
        <v>3</v>
      </c>
      <c r="C170" t="inlineStr">
        <is>
          <t>phase_3_projection</t>
        </is>
      </c>
      <c r="D170">
        <f>ROUND(MAX(0,($B$103+SUM('MAU &amp; Operating Metrics'!$D$19:'MAU &amp; Operating Metrics'!$D$54)*(($B$104-$B$103)/MAX(1,SUM('MAU &amp; Operating Metrics'!$D$19:'MAU &amp; Operating Metrics'!$D$54))))-$B$106)*$B$105+('MAU &amp; Operating Metrics'!$D$54*$B$107/1000000)*$B$108+('Advertising'!$G$48*$B$109/1000000)*$B$110,2)</f>
        <v>75.66</v>
      </c>
      <c r="E170">
        <f>ROUND(($B$111+IF('MAU &amp; Operating Metrics'!$F$54&gt;=$B$116,$B$114,IF('MAU &amp; Operating Metrics'!$F$54&gt;=$B$115,$B$113,$B$112)))+MAX(0,($B$118+SUM('MAU &amp; Operating Metrics'!$D$19:'MAU &amp; Operating Metrics'!$D$54)/1000*$B$119)-$B$118)*$B$120+IF('MAU &amp; Operating Metrics'!$F$54&gt;=$B$117,IF('MAU &amp; Operating Metrics'!$F$54&gt;=$B$116,$B$114,IF('MAU &amp; Operating Metrics'!$F$54&gt;=$B$115,$B$113,$B$112)),0),2)</f>
        <v>48.78</v>
      </c>
      <c r="F170">
        <f>ROUND($B$121+ROUND($B$122+MAX(0,(('Advertising'!$G$48*$B$127+'MAU &amp; Operating Metrics'!$D$54*$B$128)/1000000)-$B$123)*$B$124+MAX(0,(((('Advertising'!$G$48*$B$127+'MAU &amp; Operating Metrics'!$D$54*$B$128)/1000000)*$B$129)-$B$125))*$B$126,2),2)</f>
        <v>5</v>
      </c>
      <c r="G170">
        <f>$B$131</f>
        <v>35</v>
      </c>
      <c r="H170">
        <f>$B$130</f>
        <v>30</v>
      </c>
      <c r="I170">
        <f>ROUND(D170+E170+F170+G170+H170-J170,2)</f>
        <v>105.81</v>
      </c>
      <c r="J170">
        <f>ROUND(MAX(0,($B$103+SUM('MAU &amp; Operating Metrics'!$D$19:'MAU &amp; Operating Metrics'!$D$54)*(($B$104-$B$103)/MAX(1,SUM('MAU &amp; Operating Metrics'!$D$19:'MAU &amp; Operating Metrics'!$D$54))))-$B$106)*$B$105+MAX(0,($B$118+SUM('MAU &amp; Operating Metrics'!$D$19:'MAU &amp; Operating Metrics'!$D$54)/1000*$B$119)-$B$118)*$B$120,2)</f>
        <v>88.63</v>
      </c>
      <c r="K170">
        <f>ROUND(I170+J170,2)</f>
        <v>194.44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Marketplace Revenue</vt:lpstr>
      <vt:lpstr>MAU &amp; Operating Metrics</vt:lpstr>
      <vt:lpstr>Subscriptions</vt:lpstr>
      <vt:lpstr>Advertising</vt:lpstr>
      <vt:lpstr>OpEx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Synthetic Marketplace Projection Model</dc:title>
  <dc:creator>Codex</dc:creator>
</cp:coreProperties>
</file>